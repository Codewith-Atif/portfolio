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0b8cbd114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Dashboard" sheetId="1" r:id="R9a94f6aa15b94589"/>
    <x:sheet xmlns:r="http://schemas.openxmlformats.org/officeDocument/2006/relationships" name="Encounters RawData" sheetId="2" r:id="Rb2ac6fc17f5048cd"/>
    <x:sheet xmlns:r="http://schemas.openxmlformats.org/officeDocument/2006/relationships" name="Department Summary" sheetId="3" r:id="Rf86849e12c654c03"/>
    <x:sheet xmlns:r="http://schemas.openxmlformats.org/officeDocument/2006/relationships" name="Codebook" sheetId="4" r:id="R923a5142b880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₹#,##0"/>
    <x:numFmt numFmtId="203" formatCode="0.0"/>
    <x:numFmt numFmtId="204" formatCode="0.0%"/>
    <x:numFmt numFmtId="205" formatCode="0.0 &quot;min&quot;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20"/>
      <x:color rgb="FFFFFFFF"/>
      <x:name val="Carlito"/>
    </x:font>
    <x:font>
      <x:i/>
      <x:sz val="11"/>
      <x:color rgb="FF667A7D"/>
      <x:name val="Carlito"/>
    </x:font>
    <x:font>
      <x:b/>
      <x:sz val="11"/>
      <x:color rgb="FF0A7B78"/>
      <x:name val="Carlito"/>
    </x:font>
    <x:font>
      <x:b/>
      <x:sz val="22"/>
      <x:color rgb="FF123C4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C43"/>
      </x:patternFill>
    </x:fill>
    <x:fill>
      <x:patternFill patternType="solid">
        <x:fgColor rgb="FF0A7B78"/>
      </x:patternFill>
    </x:fill>
    <x:fill>
      <x:patternFill patternType="solid">
        <x:fgColor rgb="FFEAF4F3"/>
      </x:patternFill>
    </x:fill>
    <x:fill>
      <x:patternFill patternType="solid">
        <x:fgColor rgb="FFDDF4F0"/>
      </x:patternFill>
    </x:fill>
    <x:fill>
      <x:patternFill patternType="solid">
        <x:fgColor rgb="FFFFFFFF"/>
      </x:patternFill>
    </x:fill>
    <x:fill>
      <x:patternFill patternType="solid">
        <x:fgColor rgb="FFF2F7F7"/>
      </x:patternFill>
    </x:fill>
  </x:fills>
  <x:borders count="7">
    <x:border/>
    <x:border>
      <x:left style="thin">
        <x:color rgb="FFCFE0E1"/>
      </x:left>
      <x:top style="thin">
        <x:color rgb="FFCFE0E1"/>
      </x:top>
    </x:border>
    <x:border>
      <x:top style="thin">
        <x:color rgb="FFCFE0E1"/>
      </x:top>
    </x:border>
    <x:border>
      <x:right style="thin">
        <x:color rgb="FFCFE0E1"/>
      </x:right>
      <x:top style="thin">
        <x:color rgb="FFCFE0E1"/>
      </x:top>
    </x:border>
    <x:border>
      <x:left style="thin">
        <x:color rgb="FFCFE0E1"/>
      </x:left>
      <x:bottom style="thin">
        <x:color rgb="FFCFE0E1"/>
      </x:bottom>
    </x:border>
    <x:border>
      <x:bottom style="thin">
        <x:color rgb="FFCFE0E1"/>
      </x:bottom>
    </x:border>
    <x:border>
      <x:right style="thin">
        <x:color rgb="FFCFE0E1"/>
      </x:right>
      <x:bottom style="thin">
        <x:color rgb="FFCFE0E1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205" fontId="6" fillId="6" borderId="2" xfId="0" applyNumberFormat="1" applyFont="1" applyFill="1" applyBorder="1" applyAlignment="1">
      <x:alignment horizontal="center" vertical="center"/>
    </x:xf>
    <x:xf numFmtId="202" fontId="6" fillId="6" borderId="2" xfId="0" applyNumberFormat="1" applyFont="1" applyFill="1" applyBorder="1" applyAlignment="1">
      <x:alignment horizontal="center" vertical="center"/>
    </x:xf>
    <x:xf numFmtId="204" fontId="6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205" fontId="6" fillId="6" borderId="2" xfId="0" applyNumberFormat="1" applyFont="1" applyFill="1" applyBorder="1" applyAlignment="1">
      <x:alignment horizontal="center" vertical="center" wrapText="1"/>
    </x:xf>
    <x:xf numFmtId="202" fontId="6" fillId="6" borderId="2" xfId="0" applyNumberFormat="1" applyFont="1" applyFill="1" applyBorder="1" applyAlignment="1">
      <x:alignment horizontal="center" vertical="center" wrapText="1"/>
    </x:xf>
    <x:xf numFmtId="204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f41c3e1d2436b" /><Relationship Type="http://schemas.openxmlformats.org/officeDocument/2006/relationships/theme" Target="/xl/theme/theme1.xml" Id="R9aa4603fd7a1497f" /><Relationship Type="http://schemas.openxmlformats.org/officeDocument/2006/relationships/sharedStrings" Target="/xl/sharedStrings.xml" Id="Rc416e599d24a402b" /><Relationship Type="http://schemas.openxmlformats.org/officeDocument/2006/relationships/worksheet" Target="/xl/worksheets/sheet1.xml" Id="R9a94f6aa15b94589" /><Relationship Type="http://schemas.openxmlformats.org/officeDocument/2006/relationships/worksheet" Target="/xl/worksheets/sheet2.xml" Id="Rb2ac6fc17f5048cd" /><Relationship Type="http://schemas.openxmlformats.org/officeDocument/2006/relationships/worksheet" Target="/xl/worksheets/sheet3.xml" Id="Rf86849e12c654c03" /><Relationship Type="http://schemas.openxmlformats.org/officeDocument/2006/relationships/worksheet" Target="/xl/worksheets/sheet4.xml" Id="R923a5142b88040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8f8557b44545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Encounters by Department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Encounters</c:v>
          </c:tx>
          <c:cat>
            <c:strRef>
              <c:f>'KPI Dashboard'!$A$11:$A$16</c:f>
              <c:strCache>
                <c:ptCount val="0"/>
              </c:strCache>
            </c:strRef>
          </c:cat>
          <c:val>
            <c:numRef>
              <c:f>'KPI Dashboard'!$B$11:$B$16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8f8557b44545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ncounterTable" displayName="EncounterTable" ref="A1:L31" headerRowCount="1" totalsRowCount="0" totalsRowShown="0">
  <x:tableColumns count="12">
    <x:tableColumn id="1" name="encounter_id"/>
    <x:tableColumn id="2" name="patient_id"/>
    <x:tableColumn id="3" name="admit_date"/>
    <x:tableColumn id="4" name="discharge_date"/>
    <x:tableColumn id="5" name="department"/>
    <x:tableColumn id="6" name="encounter_type"/>
    <x:tableColumn id="7" name="appointment_status"/>
    <x:tableColumn id="8" name="wait_minutes"/>
    <x:tableColumn id="9" name="bed_days"/>
    <x:tableColumn id="10" name="billed_amount"/>
    <x:tableColumn id="11" name="collected_amount"/>
    <x:tableColumn id="12" name="readmitted_30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f7ac5f2d4745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ba194192964e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9" t="str">
        <x:v>HOSPITAL ERP — EXECUTIVE KPI DASHBOARD</x:v>
      </x:c>
      <x:c r="B1" s="49"/>
      <x:c r="C1" s="49"/>
      <x:c r="D1" s="49"/>
      <x:c r="E1" s="49"/>
      <x:c r="F1" s="49"/>
      <x:c r="G1" s="49"/>
      <x:c r="H1" s="49"/>
    </x:row>
    <x:row r="2">
      <x:c r="A2" s="49"/>
      <x:c r="B2" s="49"/>
      <x:c r="C2" s="49"/>
      <x:c r="D2" s="49"/>
      <x:c r="E2" s="49"/>
      <x:c r="F2" s="49"/>
      <x:c r="G2" s="49"/>
      <x:c r="H2" s="49"/>
    </x:row>
    <x:row r="3">
      <x:c r="A3" s="50" t="str">
        <x:v>Synthetic portfolio data • Administrative analytics • Updated July 2026</x:v>
      </x:c>
      <x:c r="B3" s="50"/>
      <x:c r="C3" s="50"/>
      <x:c r="D3" s="50"/>
      <x:c r="E3" s="50"/>
      <x:c r="F3" s="50"/>
      <x:c r="G3" s="50"/>
      <x:c r="H3" s="50"/>
    </x:row>
    <x:row r="4">
      <x:c r="A4" s="51"/>
      <x:c r="B4" s="51"/>
      <x:c r="C4" s="51"/>
      <x:c r="D4" s="51"/>
      <x:c r="E4" s="51"/>
      <x:c r="F4" s="51"/>
      <x:c r="G4" s="51"/>
      <x:c r="H4" s="51"/>
    </x:row>
    <x:row r="5">
      <x:c r="A5" s="52" t="str">
        <x:v>TOTAL ENCOUNTERS</x:v>
      </x:c>
      <x:c r="B5" s="52" t="str"/>
      <x:c r="C5" s="52" t="str">
        <x:v>AVG WAIT TIME</x:v>
      </x:c>
      <x:c r="D5" s="52" t="str"/>
      <x:c r="E5" s="52" t="str">
        <x:v>BILLED AMOUNT</x:v>
      </x:c>
      <x:c r="F5" s="52" t="str"/>
      <x:c r="G5" s="52" t="str">
        <x:v>COLLECTION RATE</x:v>
      </x:c>
      <x:c r="H5" s="52" t="str"/>
    </x:row>
    <x:row r="6">
      <x:c r="A6" s="53" t="n">
        <x:f>COUNTA('Encounters RawData'!$A$2:$A$31)</x:f>
        <x:v>30</x:v>
      </x:c>
      <x:c r="B6" s="54"/>
      <x:c r="C6" s="55" t="n">
        <x:f>AVERAGE('Encounters RawData'!$H$2:$H$31)</x:f>
        <x:v>23.566666666666666</x:v>
      </x:c>
      <x:c r="D6" s="54"/>
      <x:c r="E6" s="56" t="n">
        <x:f>SUM('Encounters RawData'!$J$2:$J$31)</x:f>
        <x:v>983100</x:v>
      </x:c>
      <x:c r="F6" s="54"/>
      <x:c r="G6" s="57" t="n">
        <x:f>IFERROR(SUM('Encounters RawData'!$K$2:$K$31)/SUM('Encounters RawData'!$J$2:$J$31),0)</x:f>
        <x:v>0.9299155731868579</x:v>
      </x:c>
      <x:c r="H6" s="58"/>
    </x:row>
    <x:row r="7">
      <x:c r="A7" s="59"/>
      <x:c r="B7" s="60"/>
      <x:c r="C7" s="60"/>
      <x:c r="D7" s="60"/>
      <x:c r="E7" s="60"/>
      <x:c r="F7" s="60"/>
      <x:c r="G7" s="60"/>
      <x:c r="H7" s="61"/>
    </x:row>
    <x:row r="8">
      <x:c r="A8" s="51"/>
      <x:c r="B8" s="51"/>
      <x:c r="C8" s="51"/>
      <x:c r="D8" s="51"/>
      <x:c r="E8" s="51"/>
      <x:c r="F8" s="51"/>
      <x:c r="G8" s="51"/>
      <x:c r="H8" s="51"/>
    </x:row>
    <x:row r="9">
      <x:c r="A9" s="11" t="str">
        <x:v>DEPARTMENT PERFORMANCE</x:v>
      </x:c>
      <x:c r="B9" s="11"/>
      <x:c r="C9" s="11"/>
      <x:c r="D9" s="11"/>
      <x:c r="E9" s="11"/>
      <x:c r="F9" s="11"/>
      <x:c r="G9" s="11"/>
      <x:c r="H9" s="11"/>
    </x:row>
    <x:row r="10">
      <x:c r="A10" s="51" t="str">
        <x:v>Department</x:v>
      </x:c>
      <x:c r="B10" s="51" t="str">
        <x:v>Encounters</x:v>
      </x:c>
      <x:c r="C10" s="51" t="str">
        <x:v>Avg Wait (min)</x:v>
      </x:c>
      <x:c r="D10" s="51" t="str">
        <x:v>Avg LOS (days)</x:v>
      </x:c>
      <x:c r="E10" s="51" t="str">
        <x:v>Billed (₹)</x:v>
      </x:c>
      <x:c r="F10" s="51" t="str">
        <x:v>Collected (₹)</x:v>
      </x:c>
      <x:c r="G10" s="51" t="str">
        <x:v>Collection Rate</x:v>
      </x:c>
      <x:c r="H10" s="51" t="str">
        <x:v>Readmission Rate</x:v>
      </x:c>
    </x:row>
    <x:row r="11">
      <x:c r="A11" s="51" t="str">
        <x:v>Cardiology</x:v>
      </x:c>
      <x:c r="B11" s="51" t="n">
        <x:f>COUNTIF('Encounters RawData'!$E$2:$E$31,A11)</x:f>
        <x:v>6</x:v>
      </x:c>
      <x:c r="C11" s="62" t="n">
        <x:f>AVERAGEIF('Encounters RawData'!$E$2:$E$31,A11,'Encounters RawData'!$H$2:$H$31)</x:f>
        <x:v>21.833333333333332</x:v>
      </x:c>
      <x:c r="D11" s="62" t="n">
        <x:f>AVERAGEIF('Encounters RawData'!$E$2:$E$31,A11,'Encounters RawData'!$I$2:$I$31)</x:f>
        <x:v>2</x:v>
      </x:c>
      <x:c r="E11" s="63" t="n">
        <x:f>SUMIF('Encounters RawData'!$E$2:$E$31,A11,'Encounters RawData'!$J$2:$J$31)</x:f>
        <x:v>252500</x:v>
      </x:c>
      <x:c r="F11" s="63" t="n">
        <x:f>SUMIF('Encounters RawData'!$E$2:$E$31,A11,'Encounters RawData'!$K$2:$K$31)</x:f>
        <x:v>240000</x:v>
      </x:c>
      <x:c r="G11" s="64" t="n">
        <x:f>IFERROR(F11/E11,0)</x:f>
        <x:v>0.9504950495049505</x:v>
      </x:c>
      <x:c r="H11" s="64" t="n">
        <x:f>AVERAGEIF('Encounters RawData'!$E$2:$E$31,A11,'Encounters RawData'!$L$2:$L$31)</x:f>
        <x:v>0.16666666666666666</x:v>
      </x:c>
    </x:row>
    <x:row r="12">
      <x:c r="A12" s="51" t="str">
        <x:v>Orthopedics</x:v>
      </x:c>
      <x:c r="B12" s="51" t="n">
        <x:f>COUNTIF('Encounters RawData'!$E$2:$E$31,A12)</x:f>
        <x:v>4</x:v>
      </x:c>
      <x:c r="C12" s="62" t="n">
        <x:f>AVERAGEIF('Encounters RawData'!$E$2:$E$31,A12,'Encounters RawData'!$H$2:$H$31)</x:f>
        <x:v>28.25</x:v>
      </x:c>
      <x:c r="D12" s="62" t="n">
        <x:f>AVERAGEIF('Encounters RawData'!$E$2:$E$31,A12,'Encounters RawData'!$I$2:$I$31)</x:f>
        <x:v>2.75</x:v>
      </x:c>
      <x:c r="E12" s="63" t="n">
        <x:f>SUMIF('Encounters RawData'!$E$2:$E$31,A12,'Encounters RawData'!$J$2:$J$31)</x:f>
        <x:v>228500</x:v>
      </x:c>
      <x:c r="F12" s="63" t="n">
        <x:f>SUMIF('Encounters RawData'!$E$2:$E$31,A12,'Encounters RawData'!$K$2:$K$31)</x:f>
        <x:v>210000</x:v>
      </x:c>
      <x:c r="G12" s="64" t="n">
        <x:f>IFERROR(F12/E12,0)</x:f>
        <x:v>0.9190371991247265</x:v>
      </x:c>
      <x:c r="H12" s="64" t="n">
        <x:f>AVERAGEIF('Encounters RawData'!$E$2:$E$31,A12,'Encounters RawData'!$L$2:$L$31)</x:f>
        <x:v>0.25</x:v>
      </x:c>
    </x:row>
    <x:row r="13">
      <x:c r="A13" s="51" t="str">
        <x:v>General Medicine</x:v>
      </x:c>
      <x:c r="B13" s="51" t="n">
        <x:f>COUNTIF('Encounters RawData'!$E$2:$E$31,A13)</x:f>
        <x:v>6</x:v>
      </x:c>
      <x:c r="C13" s="62" t="n">
        <x:f>AVERAGEIF('Encounters RawData'!$E$2:$E$31,A13,'Encounters RawData'!$H$2:$H$31)</x:f>
        <x:v>33.333333333333336</x:v>
      </x:c>
      <x:c r="D13" s="62" t="n">
        <x:f>AVERAGEIF('Encounters RawData'!$E$2:$E$31,A13,'Encounters RawData'!$I$2:$I$31)</x:f>
        <x:v>1</x:v>
      </x:c>
      <x:c r="E13" s="63" t="n">
        <x:f>SUMIF('Encounters RawData'!$E$2:$E$31,A13,'Encounters RawData'!$J$2:$J$31)</x:f>
        <x:v>104900</x:v>
      </x:c>
      <x:c r="F13" s="63" t="n">
        <x:f>SUMIF('Encounters RawData'!$E$2:$E$31,A13,'Encounters RawData'!$K$2:$K$31)</x:f>
        <x:v>96200</x:v>
      </x:c>
      <x:c r="G13" s="64" t="n">
        <x:f>IFERROR(F13/E13,0)</x:f>
        <x:v>0.9170638703527169</x:v>
      </x:c>
      <x:c r="H13" s="64" t="n">
        <x:f>AVERAGEIF('Encounters RawData'!$E$2:$E$31,A13,'Encounters RawData'!$L$2:$L$31)</x:f>
        <x:v>0.3333333333333333</x:v>
      </x:c>
    </x:row>
    <x:row r="14">
      <x:c r="A14" s="51" t="str">
        <x:v>Pediatrics</x:v>
      </x:c>
      <x:c r="B14" s="51" t="n">
        <x:f>COUNTIF('Encounters RawData'!$E$2:$E$31,A14)</x:f>
        <x:v>5</x:v>
      </x:c>
      <x:c r="C14" s="62" t="n">
        <x:f>AVERAGEIF('Encounters RawData'!$E$2:$E$31,A14,'Encounters RawData'!$H$2:$H$31)</x:f>
        <x:v>18.4</x:v>
      </x:c>
      <x:c r="D14" s="62" t="n">
        <x:f>AVERAGEIF('Encounters RawData'!$E$2:$E$31,A14,'Encounters RawData'!$I$2:$I$31)</x:f>
        <x:v>0</x:v>
      </x:c>
      <x:c r="E14" s="63" t="n">
        <x:f>SUMIF('Encounters RawData'!$E$2:$E$31,A14,'Encounters RawData'!$J$2:$J$31)</x:f>
        <x:v>20200</x:v>
      </x:c>
      <x:c r="F14" s="63" t="n">
        <x:f>SUMIF('Encounters RawData'!$E$2:$E$31,A14,'Encounters RawData'!$K$2:$K$31)</x:f>
        <x:v>20000</x:v>
      </x:c>
      <x:c r="G14" s="64" t="n">
        <x:f>IFERROR(F14/E14,0)</x:f>
        <x:v>0.9900990099009901</x:v>
      </x:c>
      <x:c r="H14" s="64" t="n">
        <x:f>AVERAGEIF('Encounters RawData'!$E$2:$E$31,A14,'Encounters RawData'!$L$2:$L$31)</x:f>
        <x:v>0</x:v>
      </x:c>
    </x:row>
    <x:row r="15">
      <x:c r="A15" s="51" t="str">
        <x:v>Neurology</x:v>
      </x:c>
      <x:c r="B15" s="51" t="n">
        <x:f>COUNTIF('Encounters RawData'!$E$2:$E$31,A15)</x:f>
        <x:v>4</x:v>
      </x:c>
      <x:c r="C15" s="62" t="n">
        <x:f>AVERAGEIF('Encounters RawData'!$E$2:$E$31,A15,'Encounters RawData'!$H$2:$H$31)</x:f>
        <x:v>26.5</x:v>
      </x:c>
      <x:c r="D15" s="62" t="n">
        <x:f>AVERAGEIF('Encounters RawData'!$E$2:$E$31,A15,'Encounters RawData'!$I$2:$I$31)</x:f>
        <x:v>3.75</x:v>
      </x:c>
      <x:c r="E15" s="63" t="n">
        <x:f>SUMIF('Encounters RawData'!$E$2:$E$31,A15,'Encounters RawData'!$J$2:$J$31)</x:f>
        <x:v>271000</x:v>
      </x:c>
      <x:c r="F15" s="63" t="n">
        <x:f>SUMIF('Encounters RawData'!$E$2:$E$31,A15,'Encounters RawData'!$K$2:$K$31)</x:f>
        <x:v>246000</x:v>
      </x:c>
      <x:c r="G15" s="64" t="n">
        <x:f>IFERROR(F15/E15,0)</x:f>
        <x:v>0.9077490774907749</x:v>
      </x:c>
      <x:c r="H15" s="64" t="n">
        <x:f>AVERAGEIF('Encounters RawData'!$E$2:$E$31,A15,'Encounters RawData'!$L$2:$L$31)</x:f>
        <x:v>0.5</x:v>
      </x:c>
    </x:row>
    <x:row r="16">
      <x:c r="A16" s="51" t="str">
        <x:v>Emergency</x:v>
      </x:c>
      <x:c r="B16" s="51" t="n">
        <x:f>COUNTIF('Encounters RawData'!$E$2:$E$31,A16)</x:f>
        <x:v>5</x:v>
      </x:c>
      <x:c r="C16" s="62" t="n">
        <x:f>AVERAGEIF('Encounters RawData'!$E$2:$E$31,A16,'Encounters RawData'!$H$2:$H$31)</x:f>
        <x:v>13</x:v>
      </x:c>
      <x:c r="D16" s="62" t="n">
        <x:f>AVERAGEIF('Encounters RawData'!$E$2:$E$31,A16,'Encounters RawData'!$I$2:$I$31)</x:f>
        <x:v>0</x:v>
      </x:c>
      <x:c r="E16" s="63" t="n">
        <x:f>SUMIF('Encounters RawData'!$E$2:$E$31,A16,'Encounters RawData'!$J$2:$J$31)</x:f>
        <x:v>106000</x:v>
      </x:c>
      <x:c r="F16" s="63" t="n">
        <x:f>SUMIF('Encounters RawData'!$E$2:$E$31,A16,'Encounters RawData'!$K$2:$K$31)</x:f>
        <x:v>102000</x:v>
      </x:c>
      <x:c r="G16" s="64" t="n">
        <x:f>IFERROR(F16/E16,0)</x:f>
        <x:v>0.9622641509433962</x:v>
      </x:c>
      <x:c r="H16" s="64" t="n">
        <x:f>AVERAGEIF('Encounters RawData'!$E$2:$E$31,A16,'Encounters RawData'!$L$2:$L$31)</x:f>
        <x:v>0</x:v>
      </x:c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65" t="str">
        <x:v>Legend: teal = on track • amber = monitor • red = action required</x:v>
      </x:c>
      <x:c r="B18" s="65"/>
      <x:c r="C18" s="65"/>
      <x:c r="D18" s="65"/>
      <x:c r="E18" s="65"/>
      <x:c r="F18" s="65"/>
      <x:c r="G18" s="65"/>
      <x:c r="H18" s="65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A18:H18"/>
  </x:mergeCells>
  <x:pageMargins left="0.7" right="0.7" top="0.75" bottom="0.75" header="0.3" footer="0.3"/>
  <x:drawing xmlns:r="http://schemas.openxmlformats.org/officeDocument/2006/relationships" r:id="Reff7ac5f2d4745b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9999732971191" hidden="0" customWidth="1"/>
    <x:col min="2" max="2" width="8.220000267028809" hidden="0" customWidth="1"/>
    <x:col min="3" max="3" width="9.109999656677246" hidden="0" customWidth="1"/>
    <x:col min="4" max="4" width="12.4399995803833" hidden="0" customWidth="1"/>
    <x:col min="5" max="5" width="18" hidden="0" customWidth="1"/>
    <x:col min="6" max="6" width="12.670000076293945" hidden="0" customWidth="1"/>
    <x:col min="7" max="7" width="19" hidden="0" customWidth="1"/>
    <x:col min="8" max="8" width="10.779999732971191" hidden="0" customWidth="1"/>
    <x:col min="9" max="9" width="8" hidden="0" customWidth="1"/>
    <x:col min="10" max="10" width="11.5600004196167" hidden="0" customWidth="1"/>
    <x:col min="11" max="11" width="14.329999923706055" hidden="0" customWidth="1"/>
    <x:col min="12" max="12" width="12.5600004196167" hidden="0" customWidth="1"/>
  </x:cols>
  <x:sheetData>
    <x:row r="1" ht="26" customHeight="1">
      <x:c r="A1" s="2" t="str">
        <x:v>encounter_id</x:v>
      </x:c>
      <x:c r="B1" s="2" t="str">
        <x:v>patient_id</x:v>
      </x:c>
      <x:c r="C1" s="2" t="str">
        <x:v>admit_date</x:v>
      </x:c>
      <x:c r="D1" s="2" t="str">
        <x:v>discharge_date</x:v>
      </x:c>
      <x:c r="E1" s="2" t="str">
        <x:v>department</x:v>
      </x:c>
      <x:c r="F1" s="2" t="str">
        <x:v>encounter_type</x:v>
      </x:c>
      <x:c r="G1" s="2" t="str">
        <x:v>appointment_status</x:v>
      </x:c>
      <x:c r="H1" s="2" t="str">
        <x:v>wait_minutes</x:v>
      </x:c>
      <x:c r="I1" s="2" t="str">
        <x:v>bed_days</x:v>
      </x:c>
      <x:c r="J1" s="2" t="str">
        <x:v>billed_amount</x:v>
      </x:c>
      <x:c r="K1" s="2" t="str">
        <x:v>collected_amount</x:v>
      </x:c>
      <x:c r="L1" s="2" t="str">
        <x:v>readmitted_30d</x:v>
      </x:c>
    </x:row>
    <x:row r="2">
      <x:c r="A2" s="3" t="str">
        <x:v>E1001</x:v>
      </x:c>
      <x:c r="B2" s="3" t="str">
        <x:v>P001</x:v>
      </x:c>
      <x:c r="C2" s="4" t="str">
        <x:v>2026-01-04</x:v>
      </x:c>
      <x:c r="D2" s="4" t="str">
        <x:v>2026-01-08</x:v>
      </x:c>
      <x:c r="E2" s="3" t="str">
        <x:v>Cardiology</x:v>
      </x:c>
      <x:c r="F2" s="3" t="str">
        <x:v>Inpatient</x:v>
      </x:c>
      <x:c r="G2" s="3" t="str">
        <x:v>Completed</x:v>
      </x:c>
      <x:c r="H2" s="3" t="n">
        <x:v>21</x:v>
      </x:c>
      <x:c r="I2" s="5" t="n">
        <x:v>4</x:v>
      </x:c>
      <x:c r="J2" s="6" t="n">
        <x:v>72000</x:v>
      </x:c>
      <x:c r="K2" s="6" t="n">
        <x:v>69000</x:v>
      </x:c>
      <x:c r="L2" s="3" t="n">
        <x:v>0</x:v>
      </x:c>
    </x:row>
    <x:row r="3">
      <x:c r="A3" s="3" t="str">
        <x:v>E1002</x:v>
      </x:c>
      <x:c r="B3" s="3" t="str">
        <x:v>P002</x:v>
      </x:c>
      <x:c r="C3" s="4" t="str">
        <x:v>2026-01-09</x:v>
      </x:c>
      <x:c r="D3" s="4" t="str">
        <x:v>2026-01-09</x:v>
      </x:c>
      <x:c r="E3" s="3" t="str">
        <x:v>Emergency</x:v>
      </x:c>
      <x:c r="F3" s="3" t="str">
        <x:v>Emergency</x:v>
      </x:c>
      <x:c r="G3" s="3" t="str">
        <x:v>Completed</x:v>
      </x:c>
      <x:c r="H3" s="3" t="n">
        <x:v>12</x:v>
      </x:c>
      <x:c r="I3" s="5" t="n">
        <x:v>0</x:v>
      </x:c>
      <x:c r="J3" s="6" t="n">
        <x:v>18500</x:v>
      </x:c>
      <x:c r="K3" s="6" t="n">
        <x:v>18000</x:v>
      </x:c>
      <x:c r="L3" s="3" t="n">
        <x:v>0</x:v>
      </x:c>
    </x:row>
    <x:row r="4">
      <x:c r="A4" s="3" t="str">
        <x:v>E1003</x:v>
      </x:c>
      <x:c r="B4" s="3" t="str">
        <x:v>P003</x:v>
      </x:c>
      <x:c r="C4" s="4" t="str">
        <x:v>2026-01-15</x:v>
      </x:c>
      <x:c r="D4" s="4" t="str">
        <x:v>2026-01-15</x:v>
      </x:c>
      <x:c r="E4" s="3" t="str">
        <x:v>Pediatrics</x:v>
      </x:c>
      <x:c r="F4" s="3" t="str">
        <x:v>Outpatient</x:v>
      </x:c>
      <x:c r="G4" s="3" t="str">
        <x:v>Completed</x:v>
      </x:c>
      <x:c r="H4" s="3" t="n">
        <x:v>18</x:v>
      </x:c>
      <x:c r="I4" s="5" t="n">
        <x:v>0</x:v>
      </x:c>
      <x:c r="J4" s="6" t="n">
        <x:v>6200</x:v>
      </x:c>
      <x:c r="K4" s="6" t="n">
        <x:v>6200</x:v>
      </x:c>
      <x:c r="L4" s="3" t="n">
        <x:v>0</x:v>
      </x:c>
    </x:row>
    <x:row r="5">
      <x:c r="A5" s="3" t="str">
        <x:v>E1004</x:v>
      </x:c>
      <x:c r="B5" s="3" t="str">
        <x:v>P004</x:v>
      </x:c>
      <x:c r="C5" s="4" t="str">
        <x:v>2026-01-22</x:v>
      </x:c>
      <x:c r="D5" s="4" t="str">
        <x:v>2026-01-25</x:v>
      </x:c>
      <x:c r="E5" s="3" t="str">
        <x:v>Orthopedics</x:v>
      </x:c>
      <x:c r="F5" s="3" t="str">
        <x:v>Inpatient</x:v>
      </x:c>
      <x:c r="G5" s="3" t="str">
        <x:v>Completed</x:v>
      </x:c>
      <x:c r="H5" s="3" t="n">
        <x:v>27</x:v>
      </x:c>
      <x:c r="I5" s="5" t="n">
        <x:v>3</x:v>
      </x:c>
      <x:c r="J5" s="6" t="n">
        <x:v>58000</x:v>
      </x:c>
      <x:c r="K5" s="6" t="n">
        <x:v>51000</x:v>
      </x:c>
      <x:c r="L5" s="3" t="n">
        <x:v>0</x:v>
      </x:c>
    </x:row>
    <x:row r="6">
      <x:c r="A6" s="3" t="str">
        <x:v>E1005</x:v>
      </x:c>
      <x:c r="B6" s="3" t="str">
        <x:v>P005</x:v>
      </x:c>
      <x:c r="C6" s="4" t="str">
        <x:v>2026-02-02</x:v>
      </x:c>
      <x:c r="D6" s="4" t="str">
        <x:v>2026-02-02</x:v>
      </x:c>
      <x:c r="E6" s="3" t="str">
        <x:v>General Medicine</x:v>
      </x:c>
      <x:c r="F6" s="3" t="str">
        <x:v>Outpatient</x:v>
      </x:c>
      <x:c r="G6" s="3" t="str">
        <x:v>Completed</x:v>
      </x:c>
      <x:c r="H6" s="3" t="n">
        <x:v>33</x:v>
      </x:c>
      <x:c r="I6" s="5" t="n">
        <x:v>0</x:v>
      </x:c>
      <x:c r="J6" s="6" t="n">
        <x:v>5400</x:v>
      </x:c>
      <x:c r="K6" s="6" t="n">
        <x:v>5000</x:v>
      </x:c>
      <x:c r="L6" s="3" t="n">
        <x:v>1</x:v>
      </x:c>
    </x:row>
    <x:row r="7">
      <x:c r="A7" s="3" t="str">
        <x:v>E1006</x:v>
      </x:c>
      <x:c r="B7" s="3" t="str">
        <x:v>P006</x:v>
      </x:c>
      <x:c r="C7" s="4" t="str">
        <x:v>2026-02-08</x:v>
      </x:c>
      <x:c r="D7" s="4" t="str">
        <x:v>2026-02-13</x:v>
      </x:c>
      <x:c r="E7" s="3" t="str">
        <x:v>Neurology</x:v>
      </x:c>
      <x:c r="F7" s="3" t="str">
        <x:v>Inpatient</x:v>
      </x:c>
      <x:c r="G7" s="3" t="str">
        <x:v>Completed</x:v>
      </x:c>
      <x:c r="H7" s="3" t="n">
        <x:v>25</x:v>
      </x:c>
      <x:c r="I7" s="5" t="n">
        <x:v>5</x:v>
      </x:c>
      <x:c r="J7" s="6" t="n">
        <x:v>86000</x:v>
      </x:c>
      <x:c r="K7" s="6" t="n">
        <x:v>78000</x:v>
      </x:c>
      <x:c r="L7" s="3" t="n">
        <x:v>1</x:v>
      </x:c>
    </x:row>
    <x:row r="8">
      <x:c r="A8" s="3" t="str">
        <x:v>E1007</x:v>
      </x:c>
      <x:c r="B8" s="3" t="str">
        <x:v>P007</x:v>
      </x:c>
      <x:c r="C8" s="4" t="str">
        <x:v>2026-02-17</x:v>
      </x:c>
      <x:c r="D8" s="4" t="str">
        <x:v>2026-02-17</x:v>
      </x:c>
      <x:c r="E8" s="3" t="str">
        <x:v>Cardiology</x:v>
      </x:c>
      <x:c r="F8" s="3" t="str">
        <x:v>Outpatient</x:v>
      </x:c>
      <x:c r="G8" s="3" t="str">
        <x:v>Completed</x:v>
      </x:c>
      <x:c r="H8" s="3" t="n">
        <x:v>20</x:v>
      </x:c>
      <x:c r="I8" s="5" t="n">
        <x:v>0</x:v>
      </x:c>
      <x:c r="J8" s="6" t="n">
        <x:v>11000</x:v>
      </x:c>
      <x:c r="K8" s="6" t="n">
        <x:v>11000</x:v>
      </x:c>
      <x:c r="L8" s="3" t="n">
        <x:v>0</x:v>
      </x:c>
    </x:row>
    <x:row r="9">
      <x:c r="A9" s="3" t="str">
        <x:v>E1008</x:v>
      </x:c>
      <x:c r="B9" s="3" t="str">
        <x:v>P008</x:v>
      </x:c>
      <x:c r="C9" s="4" t="str">
        <x:v>2026-02-24</x:v>
      </x:c>
      <x:c r="D9" s="4" t="str">
        <x:v>2026-02-24</x:v>
      </x:c>
      <x:c r="E9" s="3" t="str">
        <x:v>Emergency</x:v>
      </x:c>
      <x:c r="F9" s="3" t="str">
        <x:v>Emergency</x:v>
      </x:c>
      <x:c r="G9" s="3" t="str">
        <x:v>Completed</x:v>
      </x:c>
      <x:c r="H9" s="3" t="n">
        <x:v>15</x:v>
      </x:c>
      <x:c r="I9" s="5" t="n">
        <x:v>0</x:v>
      </x:c>
      <x:c r="J9" s="6" t="n">
        <x:v>22400</x:v>
      </x:c>
      <x:c r="K9" s="6" t="n">
        <x:v>21000</x:v>
      </x:c>
      <x:c r="L9" s="3" t="n">
        <x:v>0</x:v>
      </x:c>
    </x:row>
    <x:row r="10">
      <x:c r="A10" s="3" t="str">
        <x:v>E1009</x:v>
      </x:c>
      <x:c r="B10" s="3" t="str">
        <x:v>P009</x:v>
      </x:c>
      <x:c r="C10" s="4" t="str">
        <x:v>2026-03-03</x:v>
      </x:c>
      <x:c r="D10" s="4" t="str">
        <x:v>2026-03-03</x:v>
      </x:c>
      <x:c r="E10" s="3" t="str">
        <x:v>Pediatrics</x:v>
      </x:c>
      <x:c r="F10" s="3" t="str">
        <x:v>Outpatient</x:v>
      </x:c>
      <x:c r="G10" s="3" t="str">
        <x:v>Scheduled</x:v>
      </x:c>
      <x:c r="H10" s="3" t="n">
        <x:v>17</x:v>
      </x:c>
      <x:c r="I10" s="5" t="n">
        <x:v>0</x:v>
      </x:c>
      <x:c r="J10" s="6" t="n">
        <x:v>0</x:v>
      </x:c>
      <x:c r="K10" s="6" t="n">
        <x:v>0</x:v>
      </x:c>
      <x:c r="L10" s="3" t="n">
        <x:v>0</x:v>
      </x:c>
    </x:row>
    <x:row r="11">
      <x:c r="A11" s="3" t="str">
        <x:v>E1010</x:v>
      </x:c>
      <x:c r="B11" s="3" t="str">
        <x:v>P010</x:v>
      </x:c>
      <x:c r="C11" s="4" t="str">
        <x:v>2026-03-07</x:v>
      </x:c>
      <x:c r="D11" s="4" t="str">
        <x:v>2026-03-11</x:v>
      </x:c>
      <x:c r="E11" s="3" t="str">
        <x:v>Cardiology</x:v>
      </x:c>
      <x:c r="F11" s="3" t="str">
        <x:v>Inpatient</x:v>
      </x:c>
      <x:c r="G11" s="3" t="str">
        <x:v>Completed</x:v>
      </x:c>
      <x:c r="H11" s="3" t="n">
        <x:v>23</x:v>
      </x:c>
      <x:c r="I11" s="5" t="n">
        <x:v>4</x:v>
      </x:c>
      <x:c r="J11" s="6" t="n">
        <x:v>76000</x:v>
      </x:c>
      <x:c r="K11" s="6" t="n">
        <x:v>72000</x:v>
      </x:c>
      <x:c r="L11" s="3" t="n">
        <x:v>0</x:v>
      </x:c>
    </x:row>
    <x:row r="12">
      <x:c r="A12" s="3" t="str">
        <x:v>E1011</x:v>
      </x:c>
      <x:c r="B12" s="3" t="str">
        <x:v>P011</x:v>
      </x:c>
      <x:c r="C12" s="4" t="str">
        <x:v>2026-03-13</x:v>
      </x:c>
      <x:c r="D12" s="4" t="str">
        <x:v>2026-03-13</x:v>
      </x:c>
      <x:c r="E12" s="3" t="str">
        <x:v>General Medicine</x:v>
      </x:c>
      <x:c r="F12" s="3" t="str">
        <x:v>Outpatient</x:v>
      </x:c>
      <x:c r="G12" s="3" t="str">
        <x:v>Cancelled</x:v>
      </x:c>
      <x:c r="H12" s="3" t="n">
        <x:v>35</x:v>
      </x:c>
      <x:c r="I12" s="5" t="n">
        <x:v>0</x:v>
      </x:c>
      <x:c r="J12" s="6" t="n">
        <x:v>0</x:v>
      </x:c>
      <x:c r="K12" s="6" t="n">
        <x:v>0</x:v>
      </x:c>
      <x:c r="L12" s="3" t="n">
        <x:v>0</x:v>
      </x:c>
    </x:row>
    <x:row r="13">
      <x:c r="A13" s="3" t="str">
        <x:v>E1012</x:v>
      </x:c>
      <x:c r="B13" s="3" t="str">
        <x:v>P012</x:v>
      </x:c>
      <x:c r="C13" s="4" t="str">
        <x:v>2026-03-20</x:v>
      </x:c>
      <x:c r="D13" s="4" t="str">
        <x:v>2026-03-22</x:v>
      </x:c>
      <x:c r="E13" s="3" t="str">
        <x:v>Orthopedics</x:v>
      </x:c>
      <x:c r="F13" s="3" t="str">
        <x:v>Inpatient</x:v>
      </x:c>
      <x:c r="G13" s="3" t="str">
        <x:v>Completed</x:v>
      </x:c>
      <x:c r="H13" s="3" t="n">
        <x:v>29</x:v>
      </x:c>
      <x:c r="I13" s="5" t="n">
        <x:v>2</x:v>
      </x:c>
      <x:c r="J13" s="6" t="n">
        <x:v>46000</x:v>
      </x:c>
      <x:c r="K13" s="6" t="n">
        <x:v>43000</x:v>
      </x:c>
      <x:c r="L13" s="3" t="n">
        <x:v>0</x:v>
      </x:c>
    </x:row>
    <x:row r="14">
      <x:c r="A14" s="3" t="str">
        <x:v>E1013</x:v>
      </x:c>
      <x:c r="B14" s="3" t="str">
        <x:v>P013</x:v>
      </x:c>
      <x:c r="C14" s="4" t="str">
        <x:v>2026-03-27</x:v>
      </x:c>
      <x:c r="D14" s="4" t="str">
        <x:v>2026-03-27</x:v>
      </x:c>
      <x:c r="E14" s="3" t="str">
        <x:v>Neurology</x:v>
      </x:c>
      <x:c r="F14" s="3" t="str">
        <x:v>Outpatient</x:v>
      </x:c>
      <x:c r="G14" s="3" t="str">
        <x:v>No-show</x:v>
      </x:c>
      <x:c r="H14" s="3" t="n">
        <x:v>26</x:v>
      </x:c>
      <x:c r="I14" s="5" t="n">
        <x:v>0</x:v>
      </x:c>
      <x:c r="J14" s="6" t="n">
        <x:v>0</x:v>
      </x:c>
      <x:c r="K14" s="6" t="n">
        <x:v>0</x:v>
      </x:c>
      <x:c r="L14" s="3" t="n">
        <x:v>0</x:v>
      </x:c>
    </x:row>
    <x:row r="15">
      <x:c r="A15" s="3" t="str">
        <x:v>E1014</x:v>
      </x:c>
      <x:c r="B15" s="3" t="str">
        <x:v>P014</x:v>
      </x:c>
      <x:c r="C15" s="4" t="str">
        <x:v>2026-04-02</x:v>
      </x:c>
      <x:c r="D15" s="4" t="str">
        <x:v>2026-04-02</x:v>
      </x:c>
      <x:c r="E15" s="3" t="str">
        <x:v>Emergency</x:v>
      </x:c>
      <x:c r="F15" s="3" t="str">
        <x:v>Emergency</x:v>
      </x:c>
      <x:c r="G15" s="3" t="str">
        <x:v>Completed</x:v>
      </x:c>
      <x:c r="H15" s="3" t="n">
        <x:v>13</x:v>
      </x:c>
      <x:c r="I15" s="5" t="n">
        <x:v>0</x:v>
      </x:c>
      <x:c r="J15" s="6" t="n">
        <x:v>19800</x:v>
      </x:c>
      <x:c r="K15" s="6" t="n">
        <x:v>19000</x:v>
      </x:c>
      <x:c r="L15" s="3" t="n">
        <x:v>0</x:v>
      </x:c>
    </x:row>
    <x:row r="16">
      <x:c r="A16" s="3" t="str">
        <x:v>E1015</x:v>
      </x:c>
      <x:c r="B16" s="3" t="str">
        <x:v>P015</x:v>
      </x:c>
      <x:c r="C16" s="4" t="str">
        <x:v>2026-04-06</x:v>
      </x:c>
      <x:c r="D16" s="4" t="str">
        <x:v>2026-04-09</x:v>
      </x:c>
      <x:c r="E16" s="3" t="str">
        <x:v>General Medicine</x:v>
      </x:c>
      <x:c r="F16" s="3" t="str">
        <x:v>Inpatient</x:v>
      </x:c>
      <x:c r="G16" s="3" t="str">
        <x:v>Completed</x:v>
      </x:c>
      <x:c r="H16" s="3" t="n">
        <x:v>30</x:v>
      </x:c>
      <x:c r="I16" s="5" t="n">
        <x:v>3</x:v>
      </x:c>
      <x:c r="J16" s="6" t="n">
        <x:v>42000</x:v>
      </x:c>
      <x:c r="K16" s="6" t="n">
        <x:v>38000</x:v>
      </x:c>
      <x:c r="L16" s="3" t="n">
        <x:v>1</x:v>
      </x:c>
    </x:row>
    <x:row r="17">
      <x:c r="A17" s="3" t="str">
        <x:v>E1016</x:v>
      </x:c>
      <x:c r="B17" s="3" t="str">
        <x:v>P016</x:v>
      </x:c>
      <x:c r="C17" s="4" t="str">
        <x:v>2026-04-12</x:v>
      </x:c>
      <x:c r="D17" s="4" t="str">
        <x:v>2026-04-12</x:v>
      </x:c>
      <x:c r="E17" s="3" t="str">
        <x:v>Pediatrics</x:v>
      </x:c>
      <x:c r="F17" s="3" t="str">
        <x:v>Outpatient</x:v>
      </x:c>
      <x:c r="G17" s="3" t="str">
        <x:v>Completed</x:v>
      </x:c>
      <x:c r="H17" s="3" t="n">
        <x:v>19</x:v>
      </x:c>
      <x:c r="I17" s="5" t="n">
        <x:v>0</x:v>
      </x:c>
      <x:c r="J17" s="6" t="n">
        <x:v>6800</x:v>
      </x:c>
      <x:c r="K17" s="6" t="n">
        <x:v>6800</x:v>
      </x:c>
      <x:c r="L17" s="3" t="n">
        <x:v>0</x:v>
      </x:c>
    </x:row>
    <x:row r="18">
      <x:c r="A18" s="3" t="str">
        <x:v>E1017</x:v>
      </x:c>
      <x:c r="B18" s="3" t="str">
        <x:v>P017</x:v>
      </x:c>
      <x:c r="C18" s="4" t="str">
        <x:v>2026-04-19</x:v>
      </x:c>
      <x:c r="D18" s="4" t="str">
        <x:v>2026-04-24</x:v>
      </x:c>
      <x:c r="E18" s="3" t="str">
        <x:v>Neurology</x:v>
      </x:c>
      <x:c r="F18" s="3" t="str">
        <x:v>Inpatient</x:v>
      </x:c>
      <x:c r="G18" s="3" t="str">
        <x:v>Completed</x:v>
      </x:c>
      <x:c r="H18" s="3" t="n">
        <x:v>28</x:v>
      </x:c>
      <x:c r="I18" s="5" t="n">
        <x:v>5</x:v>
      </x:c>
      <x:c r="J18" s="6" t="n">
        <x:v>91000</x:v>
      </x:c>
      <x:c r="K18" s="6" t="n">
        <x:v>82000</x:v>
      </x:c>
      <x:c r="L18" s="3" t="n">
        <x:v>0</x:v>
      </x:c>
    </x:row>
    <x:row r="19">
      <x:c r="A19" s="3" t="str">
        <x:v>E1018</x:v>
      </x:c>
      <x:c r="B19" s="3" t="str">
        <x:v>P018</x:v>
      </x:c>
      <x:c r="C19" s="4" t="str">
        <x:v>2026-04-27</x:v>
      </x:c>
      <x:c r="D19" s="4" t="str">
        <x:v>2026-04-27</x:v>
      </x:c>
      <x:c r="E19" s="3" t="str">
        <x:v>Cardiology</x:v>
      </x:c>
      <x:c r="F19" s="3" t="str">
        <x:v>Outpatient</x:v>
      </x:c>
      <x:c r="G19" s="3" t="str">
        <x:v>Completed</x:v>
      </x:c>
      <x:c r="H19" s="3" t="n">
        <x:v>22</x:v>
      </x:c>
      <x:c r="I19" s="5" t="n">
        <x:v>0</x:v>
      </x:c>
      <x:c r="J19" s="6" t="n">
        <x:v>12500</x:v>
      </x:c>
      <x:c r="K19" s="6" t="n">
        <x:v>12000</x:v>
      </x:c>
      <x:c r="L19" s="3" t="n">
        <x:v>0</x:v>
      </x:c>
    </x:row>
    <x:row r="20">
      <x:c r="A20" s="3" t="str">
        <x:v>E1019</x:v>
      </x:c>
      <x:c r="B20" s="3" t="str">
        <x:v>P019</x:v>
      </x:c>
      <x:c r="C20" s="4" t="str">
        <x:v>2026-05-03</x:v>
      </x:c>
      <x:c r="D20" s="4" t="str">
        <x:v>2026-05-06</x:v>
      </x:c>
      <x:c r="E20" s="3" t="str">
        <x:v>Orthopedics</x:v>
      </x:c>
      <x:c r="F20" s="3" t="str">
        <x:v>Inpatient</x:v>
      </x:c>
      <x:c r="G20" s="3" t="str">
        <x:v>Completed</x:v>
      </x:c>
      <x:c r="H20" s="3" t="n">
        <x:v>31</x:v>
      </x:c>
      <x:c r="I20" s="5" t="n">
        <x:v>3</x:v>
      </x:c>
      <x:c r="J20" s="6" t="n">
        <x:v>61000</x:v>
      </x:c>
      <x:c r="K20" s="6" t="n">
        <x:v>56000</x:v>
      </x:c>
      <x:c r="L20" s="3" t="n">
        <x:v>1</x:v>
      </x:c>
    </x:row>
    <x:row r="21">
      <x:c r="A21" s="3" t="str">
        <x:v>E1020</x:v>
      </x:c>
      <x:c r="B21" s="3" t="str">
        <x:v>P020</x:v>
      </x:c>
      <x:c r="C21" s="4" t="str">
        <x:v>2026-05-08</x:v>
      </x:c>
      <x:c r="D21" s="4" t="str">
        <x:v>2026-05-08</x:v>
      </x:c>
      <x:c r="E21" s="3" t="str">
        <x:v>General Medicine</x:v>
      </x:c>
      <x:c r="F21" s="3" t="str">
        <x:v>Outpatient</x:v>
      </x:c>
      <x:c r="G21" s="3" t="str">
        <x:v>Completed</x:v>
      </x:c>
      <x:c r="H21" s="3" t="n">
        <x:v>34</x:v>
      </x:c>
      <x:c r="I21" s="5" t="n">
        <x:v>0</x:v>
      </x:c>
      <x:c r="J21" s="6" t="n">
        <x:v>5900</x:v>
      </x:c>
      <x:c r="K21" s="6" t="n">
        <x:v>5500</x:v>
      </x:c>
      <x:c r="L21" s="3" t="n">
        <x:v>0</x:v>
      </x:c>
    </x:row>
    <x:row r="22">
      <x:c r="A22" s="3" t="str">
        <x:v>E1021</x:v>
      </x:c>
      <x:c r="B22" s="3" t="str">
        <x:v>P021</x:v>
      </x:c>
      <x:c r="C22" s="4" t="str">
        <x:v>2026-05-12</x:v>
      </x:c>
      <x:c r="D22" s="4" t="str">
        <x:v>2026-05-12</x:v>
      </x:c>
      <x:c r="E22" s="3" t="str">
        <x:v>Emergency</x:v>
      </x:c>
      <x:c r="F22" s="3" t="str">
        <x:v>Emergency</x:v>
      </x:c>
      <x:c r="G22" s="3" t="str">
        <x:v>Completed</x:v>
      </x:c>
      <x:c r="H22" s="3" t="n">
        <x:v>14</x:v>
      </x:c>
      <x:c r="I22" s="5" t="n">
        <x:v>0</x:v>
      </x:c>
      <x:c r="J22" s="6" t="n">
        <x:v>20500</x:v>
      </x:c>
      <x:c r="K22" s="6" t="n">
        <x:v>20000</x:v>
      </x:c>
      <x:c r="L22" s="3" t="n">
        <x:v>0</x:v>
      </x:c>
    </x:row>
    <x:row r="23">
      <x:c r="A23" s="3" t="str">
        <x:v>E1022</x:v>
      </x:c>
      <x:c r="B23" s="3" t="str">
        <x:v>P022</x:v>
      </x:c>
      <x:c r="C23" s="4" t="str">
        <x:v>2026-05-17</x:v>
      </x:c>
      <x:c r="D23" s="4" t="str">
        <x:v>2026-05-17</x:v>
      </x:c>
      <x:c r="E23" s="3" t="str">
        <x:v>Pediatrics</x:v>
      </x:c>
      <x:c r="F23" s="3" t="str">
        <x:v>Outpatient</x:v>
      </x:c>
      <x:c r="G23" s="3" t="str">
        <x:v>Completed</x:v>
      </x:c>
      <x:c r="H23" s="3" t="n">
        <x:v>20</x:v>
      </x:c>
      <x:c r="I23" s="5" t="n">
        <x:v>0</x:v>
      </x:c>
      <x:c r="J23" s="6" t="n">
        <x:v>7200</x:v>
      </x:c>
      <x:c r="K23" s="6" t="n">
        <x:v>7000</x:v>
      </x:c>
      <x:c r="L23" s="3" t="n">
        <x:v>0</x:v>
      </x:c>
    </x:row>
    <x:row r="24">
      <x:c r="A24" s="3" t="str">
        <x:v>E1023</x:v>
      </x:c>
      <x:c r="B24" s="3" t="str">
        <x:v>P023</x:v>
      </x:c>
      <x:c r="C24" s="4" t="str">
        <x:v>2026-05-21</x:v>
      </x:c>
      <x:c r="D24" s="4" t="str">
        <x:v>2026-05-26</x:v>
      </x:c>
      <x:c r="E24" s="3" t="str">
        <x:v>Neurology</x:v>
      </x:c>
      <x:c r="F24" s="3" t="str">
        <x:v>Inpatient</x:v>
      </x:c>
      <x:c r="G24" s="3" t="str">
        <x:v>Completed</x:v>
      </x:c>
      <x:c r="H24" s="3" t="n">
        <x:v>27</x:v>
      </x:c>
      <x:c r="I24" s="5" t="n">
        <x:v>5</x:v>
      </x:c>
      <x:c r="J24" s="6" t="n">
        <x:v>94000</x:v>
      </x:c>
      <x:c r="K24" s="6" t="n">
        <x:v>86000</x:v>
      </x:c>
      <x:c r="L24" s="3" t="n">
        <x:v>1</x:v>
      </x:c>
    </x:row>
    <x:row r="25">
      <x:c r="A25" s="3" t="str">
        <x:v>E1024</x:v>
      </x:c>
      <x:c r="B25" s="3" t="str">
        <x:v>P024</x:v>
      </x:c>
      <x:c r="C25" s="4" t="str">
        <x:v>2026-05-29</x:v>
      </x:c>
      <x:c r="D25" s="4" t="str">
        <x:v>2026-05-29</x:v>
      </x:c>
      <x:c r="E25" s="3" t="str">
        <x:v>Cardiology</x:v>
      </x:c>
      <x:c r="F25" s="3" t="str">
        <x:v>Outpatient</x:v>
      </x:c>
      <x:c r="G25" s="3" t="str">
        <x:v>Scheduled</x:v>
      </x:c>
      <x:c r="H25" s="3" t="n">
        <x:v>21</x:v>
      </x:c>
      <x:c r="I25" s="5" t="n">
        <x:v>0</x:v>
      </x:c>
      <x:c r="J25" s="6" t="n">
        <x:v>0</x:v>
      </x:c>
      <x:c r="K25" s="6" t="n">
        <x:v>0</x:v>
      </x:c>
      <x:c r="L25" s="3" t="n">
        <x:v>0</x:v>
      </x:c>
    </x:row>
    <x:row r="26">
      <x:c r="A26" s="3" t="str">
        <x:v>E1025</x:v>
      </x:c>
      <x:c r="B26" s="3" t="str">
        <x:v>P025</x:v>
      </x:c>
      <x:c r="C26" s="4" t="str">
        <x:v>2026-06-01</x:v>
      </x:c>
      <x:c r="D26" s="4" t="str">
        <x:v>2026-06-04</x:v>
      </x:c>
      <x:c r="E26" s="3" t="str">
        <x:v>General Medicine</x:v>
      </x:c>
      <x:c r="F26" s="3" t="str">
        <x:v>Inpatient</x:v>
      </x:c>
      <x:c r="G26" s="3" t="str">
        <x:v>Completed</x:v>
      </x:c>
      <x:c r="H26" s="3" t="n">
        <x:v>32</x:v>
      </x:c>
      <x:c r="I26" s="5" t="n">
        <x:v>3</x:v>
      </x:c>
      <x:c r="J26" s="6" t="n">
        <x:v>45500</x:v>
      </x:c>
      <x:c r="K26" s="6" t="n">
        <x:v>42000</x:v>
      </x:c>
      <x:c r="L26" s="3" t="n">
        <x:v>0</x:v>
      </x:c>
    </x:row>
    <x:row r="27">
      <x:c r="A27" s="3" t="str">
        <x:v>E1026</x:v>
      </x:c>
      <x:c r="B27" s="3" t="str">
        <x:v>P026</x:v>
      </x:c>
      <x:c r="C27" s="4" t="str">
        <x:v>2026-06-05</x:v>
      </x:c>
      <x:c r="D27" s="4" t="str">
        <x:v>2026-06-05</x:v>
      </x:c>
      <x:c r="E27" s="3" t="str">
        <x:v>Emergency</x:v>
      </x:c>
      <x:c r="F27" s="3" t="str">
        <x:v>Emergency</x:v>
      </x:c>
      <x:c r="G27" s="3" t="str">
        <x:v>Completed</x:v>
      </x:c>
      <x:c r="H27" s="3" t="n">
        <x:v>11</x:v>
      </x:c>
      <x:c r="I27" s="5" t="n">
        <x:v>0</x:v>
      </x:c>
      <x:c r="J27" s="6" t="n">
        <x:v>24800</x:v>
      </x:c>
      <x:c r="K27" s="6" t="n">
        <x:v>24000</x:v>
      </x:c>
      <x:c r="L27" s="3" t="n">
        <x:v>0</x:v>
      </x:c>
    </x:row>
    <x:row r="28">
      <x:c r="A28" s="3" t="str">
        <x:v>E1027</x:v>
      </x:c>
      <x:c r="B28" s="3" t="str">
        <x:v>P027</x:v>
      </x:c>
      <x:c r="C28" s="4" t="str">
        <x:v>2026-06-09</x:v>
      </x:c>
      <x:c r="D28" s="4" t="str">
        <x:v>2026-06-12</x:v>
      </x:c>
      <x:c r="E28" s="3" t="str">
        <x:v>Orthopedics</x:v>
      </x:c>
      <x:c r="F28" s="3" t="str">
        <x:v>Inpatient</x:v>
      </x:c>
      <x:c r="G28" s="3" t="str">
        <x:v>Completed</x:v>
      </x:c>
      <x:c r="H28" s="3" t="n">
        <x:v>26</x:v>
      </x:c>
      <x:c r="I28" s="5" t="n">
        <x:v>3</x:v>
      </x:c>
      <x:c r="J28" s="6" t="n">
        <x:v>63500</x:v>
      </x:c>
      <x:c r="K28" s="6" t="n">
        <x:v>60000</x:v>
      </x:c>
      <x:c r="L28" s="3" t="n">
        <x:v>0</x:v>
      </x:c>
    </x:row>
    <x:row r="29">
      <x:c r="A29" s="3" t="str">
        <x:v>E1028</x:v>
      </x:c>
      <x:c r="B29" s="3" t="str">
        <x:v>P028</x:v>
      </x:c>
      <x:c r="C29" s="4" t="str">
        <x:v>2026-06-14</x:v>
      </x:c>
      <x:c r="D29" s="4" t="str">
        <x:v>2026-06-14</x:v>
      </x:c>
      <x:c r="E29" s="3" t="str">
        <x:v>Pediatrics</x:v>
      </x:c>
      <x:c r="F29" s="3" t="str">
        <x:v>Outpatient</x:v>
      </x:c>
      <x:c r="G29" s="3" t="str">
        <x:v>Cancelled</x:v>
      </x:c>
      <x:c r="H29" s="3" t="n">
        <x:v>18</x:v>
      </x:c>
      <x:c r="I29" s="5" t="n">
        <x:v>0</x:v>
      </x:c>
      <x:c r="J29" s="6" t="n">
        <x:v>0</x:v>
      </x:c>
      <x:c r="K29" s="6" t="n">
        <x:v>0</x:v>
      </x:c>
      <x:c r="L29" s="3" t="n">
        <x:v>0</x:v>
      </x:c>
    </x:row>
    <x:row r="30">
      <x:c r="A30" s="3" t="str">
        <x:v>E1029</x:v>
      </x:c>
      <x:c r="B30" s="3" t="str">
        <x:v>P029</x:v>
      </x:c>
      <x:c r="C30" s="4" t="str">
        <x:v>2026-06-19</x:v>
      </x:c>
      <x:c r="D30" s="4" t="str">
        <x:v>2026-06-23</x:v>
      </x:c>
      <x:c r="E30" s="3" t="str">
        <x:v>Cardiology</x:v>
      </x:c>
      <x:c r="F30" s="3" t="str">
        <x:v>Inpatient</x:v>
      </x:c>
      <x:c r="G30" s="3" t="str">
        <x:v>Completed</x:v>
      </x:c>
      <x:c r="H30" s="3" t="n">
        <x:v>24</x:v>
      </x:c>
      <x:c r="I30" s="5" t="n">
        <x:v>4</x:v>
      </x:c>
      <x:c r="J30" s="6" t="n">
        <x:v>81000</x:v>
      </x:c>
      <x:c r="K30" s="6" t="n">
        <x:v>76000</x:v>
      </x:c>
      <x:c r="L30" s="3" t="n">
        <x:v>1</x:v>
      </x:c>
    </x:row>
    <x:row r="31">
      <x:c r="A31" s="3" t="str">
        <x:v>E1030</x:v>
      </x:c>
      <x:c r="B31" s="3" t="str">
        <x:v>P030</x:v>
      </x:c>
      <x:c r="C31" s="4" t="str">
        <x:v>2026-06-25</x:v>
      </x:c>
      <x:c r="D31" s="4" t="str">
        <x:v>2026-06-25</x:v>
      </x:c>
      <x:c r="E31" s="3" t="str">
        <x:v>General Medicine</x:v>
      </x:c>
      <x:c r="F31" s="3" t="str">
        <x:v>Outpatient</x:v>
      </x:c>
      <x:c r="G31" s="3" t="str">
        <x:v>Completed</x:v>
      </x:c>
      <x:c r="H31" s="3" t="n">
        <x:v>36</x:v>
      </x:c>
      <x:c r="I31" s="5" t="n">
        <x:v>0</x:v>
      </x:c>
      <x:c r="J31" s="6" t="n">
        <x:v>6100</x:v>
      </x:c>
      <x:c r="K31" s="6" t="n">
        <x:v>5700</x:v>
      </x:c>
      <x:c r="L3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ba194192964e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.4399995803833" hidden="0" customWidth="1"/>
    <x:col min="3" max="3" width="11.890000343322754" hidden="0" customWidth="1"/>
    <x:col min="4" max="4" width="12.670000076293945" hidden="0" customWidth="1"/>
    <x:col min="5" max="5" width="7.559999942779541" hidden="0" customWidth="1"/>
    <x:col min="6" max="6" width="10.5600004196167" hidden="0" customWidth="1"/>
    <x:col min="7" max="7" width="12.329999923706055" hidden="0" customWidth="1"/>
    <x:col min="8" max="8" width="14.670000076293945" hidden="0" customWidth="1"/>
  </x:cols>
  <x:sheetData>
    <x:row r="1" ht="34" customHeight="1">
      <x:c r="A1" s="8" t="str">
        <x:v>Department Performance Summary</x:v>
      </x:c>
      <x:c r="B1" s="8"/>
      <x:c r="C1" s="8"/>
      <x:c r="D1" s="8"/>
      <x:c r="E1" s="8"/>
      <x:c r="F1" s="8"/>
      <x:c r="G1" s="8"/>
      <x:c r="H1" s="8"/>
    </x:row>
    <x:row r="3" ht="34" customHeight="1">
      <x:c r="A3" s="11" t="str">
        <x:v>Department</x:v>
      </x:c>
      <x:c r="B3" s="11" t="str">
        <x:v>Encounters</x:v>
      </x:c>
      <x:c r="C3" s="11" t="str">
        <x:v>Avg Wait (min)</x:v>
      </x:c>
      <x:c r="D3" s="11" t="str">
        <x:v>Avg LOS (days)</x:v>
      </x:c>
      <x:c r="E3" s="11" t="str">
        <x:v>Billed (₹)</x:v>
      </x:c>
      <x:c r="F3" s="11" t="str">
        <x:v>Collected (₹)</x:v>
      </x:c>
      <x:c r="G3" s="11" t="str">
        <x:v>Collection Rate</x:v>
      </x:c>
      <x:c r="H3" s="11" t="str">
        <x:v>Readmission Rate</x:v>
      </x:c>
    </x:row>
    <x:row r="4">
      <x:c r="A4" s="3" t="str">
        <x:v>Cardiology</x:v>
      </x:c>
      <x:c r="B4" s="3" t="n">
        <x:f>COUNTIF('Encounters RawData'!$E$2:$E$31,A4)</x:f>
        <x:v>6</x:v>
      </x:c>
      <x:c r="C4" s="12" t="n">
        <x:f>AVERAGEIF('Encounters RawData'!$E$2:$E$31,A4,'Encounters RawData'!$H$2:$H$31)</x:f>
        <x:v>21.833333333333332</x:v>
      </x:c>
      <x:c r="D4" s="12" t="n">
        <x:f>AVERAGEIF('Encounters RawData'!$E$2:$E$31,A4,'Encounters RawData'!$I$2:$I$31)</x:f>
        <x:v>2</x:v>
      </x:c>
      <x:c r="E4" s="6" t="n">
        <x:f>SUMIF('Encounters RawData'!$E$2:$E$31,A4,'Encounters RawData'!$J$2:$J$31)</x:f>
        <x:v>252500</x:v>
      </x:c>
      <x:c r="F4" s="6" t="n">
        <x:f>SUMIF('Encounters RawData'!$E$2:$E$31,A4,'Encounters RawData'!$K$2:$K$31)</x:f>
        <x:v>240000</x:v>
      </x:c>
      <x:c r="G4" s="13" t="n">
        <x:f>IFERROR(F4/E4,0)</x:f>
        <x:v>0.9504950495049505</x:v>
      </x:c>
      <x:c r="H4" s="13" t="n">
        <x:f>AVERAGEIF('Encounters RawData'!$E$2:$E$31,A4,'Encounters RawData'!$L$2:$L$31)</x:f>
        <x:v>0.16666666666666666</x:v>
      </x:c>
    </x:row>
    <x:row r="5">
      <x:c r="A5" s="3" t="str">
        <x:v>Orthopedics</x:v>
      </x:c>
      <x:c r="B5" s="3" t="n">
        <x:f>COUNTIF('Encounters RawData'!$E$2:$E$31,A5)</x:f>
        <x:v>4</x:v>
      </x:c>
      <x:c r="C5" s="12" t="n">
        <x:f>AVERAGEIF('Encounters RawData'!$E$2:$E$31,A5,'Encounters RawData'!$H$2:$H$31)</x:f>
        <x:v>28.25</x:v>
      </x:c>
      <x:c r="D5" s="12" t="n">
        <x:f>AVERAGEIF('Encounters RawData'!$E$2:$E$31,A5,'Encounters RawData'!$I$2:$I$31)</x:f>
        <x:v>2.75</x:v>
      </x:c>
      <x:c r="E5" s="6" t="n">
        <x:f>SUMIF('Encounters RawData'!$E$2:$E$31,A5,'Encounters RawData'!$J$2:$J$31)</x:f>
        <x:v>228500</x:v>
      </x:c>
      <x:c r="F5" s="6" t="n">
        <x:f>SUMIF('Encounters RawData'!$E$2:$E$31,A5,'Encounters RawData'!$K$2:$K$31)</x:f>
        <x:v>210000</x:v>
      </x:c>
      <x:c r="G5" s="13" t="n">
        <x:f>IFERROR(F5/E5,0)</x:f>
        <x:v>0.9190371991247265</x:v>
      </x:c>
      <x:c r="H5" s="13" t="n">
        <x:f>AVERAGEIF('Encounters RawData'!$E$2:$E$31,A5,'Encounters RawData'!$L$2:$L$31)</x:f>
        <x:v>0.25</x:v>
      </x:c>
    </x:row>
    <x:row r="6">
      <x:c r="A6" s="3" t="str">
        <x:v>General Medicine</x:v>
      </x:c>
      <x:c r="B6" s="3" t="n">
        <x:f>COUNTIF('Encounters RawData'!$E$2:$E$31,A6)</x:f>
        <x:v>6</x:v>
      </x:c>
      <x:c r="C6" s="12" t="n">
        <x:f>AVERAGEIF('Encounters RawData'!$E$2:$E$31,A6,'Encounters RawData'!$H$2:$H$31)</x:f>
        <x:v>33.333333333333336</x:v>
      </x:c>
      <x:c r="D6" s="12" t="n">
        <x:f>AVERAGEIF('Encounters RawData'!$E$2:$E$31,A6,'Encounters RawData'!$I$2:$I$31)</x:f>
        <x:v>1</x:v>
      </x:c>
      <x:c r="E6" s="6" t="n">
        <x:f>SUMIF('Encounters RawData'!$E$2:$E$31,A6,'Encounters RawData'!$J$2:$J$31)</x:f>
        <x:v>104900</x:v>
      </x:c>
      <x:c r="F6" s="6" t="n">
        <x:f>SUMIF('Encounters RawData'!$E$2:$E$31,A6,'Encounters RawData'!$K$2:$K$31)</x:f>
        <x:v>96200</x:v>
      </x:c>
      <x:c r="G6" s="13" t="n">
        <x:f>IFERROR(F6/E6,0)</x:f>
        <x:v>0.9170638703527169</x:v>
      </x:c>
      <x:c r="H6" s="13" t="n">
        <x:f>AVERAGEIF('Encounters RawData'!$E$2:$E$31,A6,'Encounters RawData'!$L$2:$L$31)</x:f>
        <x:v>0.3333333333333333</x:v>
      </x:c>
    </x:row>
    <x:row r="7">
      <x:c r="A7" s="3" t="str">
        <x:v>Pediatrics</x:v>
      </x:c>
      <x:c r="B7" s="3" t="n">
        <x:f>COUNTIF('Encounters RawData'!$E$2:$E$31,A7)</x:f>
        <x:v>5</x:v>
      </x:c>
      <x:c r="C7" s="12" t="n">
        <x:f>AVERAGEIF('Encounters RawData'!$E$2:$E$31,A7,'Encounters RawData'!$H$2:$H$31)</x:f>
        <x:v>18.4</x:v>
      </x:c>
      <x:c r="D7" s="12" t="n">
        <x:f>AVERAGEIF('Encounters RawData'!$E$2:$E$31,A7,'Encounters RawData'!$I$2:$I$31)</x:f>
        <x:v>0</x:v>
      </x:c>
      <x:c r="E7" s="6" t="n">
        <x:f>SUMIF('Encounters RawData'!$E$2:$E$31,A7,'Encounters RawData'!$J$2:$J$31)</x:f>
        <x:v>20200</x:v>
      </x:c>
      <x:c r="F7" s="6" t="n">
        <x:f>SUMIF('Encounters RawData'!$E$2:$E$31,A7,'Encounters RawData'!$K$2:$K$31)</x:f>
        <x:v>20000</x:v>
      </x:c>
      <x:c r="G7" s="13" t="n">
        <x:f>IFERROR(F7/E7,0)</x:f>
        <x:v>0.9900990099009901</x:v>
      </x:c>
      <x:c r="H7" s="13" t="n">
        <x:f>AVERAGEIF('Encounters RawData'!$E$2:$E$31,A7,'Encounters RawData'!$L$2:$L$31)</x:f>
        <x:v>0</x:v>
      </x:c>
    </x:row>
    <x:row r="8">
      <x:c r="A8" s="3" t="str">
        <x:v>Neurology</x:v>
      </x:c>
      <x:c r="B8" s="3" t="n">
        <x:f>COUNTIF('Encounters RawData'!$E$2:$E$31,A8)</x:f>
        <x:v>4</x:v>
      </x:c>
      <x:c r="C8" s="12" t="n">
        <x:f>AVERAGEIF('Encounters RawData'!$E$2:$E$31,A8,'Encounters RawData'!$H$2:$H$31)</x:f>
        <x:v>26.5</x:v>
      </x:c>
      <x:c r="D8" s="12" t="n">
        <x:f>AVERAGEIF('Encounters RawData'!$E$2:$E$31,A8,'Encounters RawData'!$I$2:$I$31)</x:f>
        <x:v>3.75</x:v>
      </x:c>
      <x:c r="E8" s="6" t="n">
        <x:f>SUMIF('Encounters RawData'!$E$2:$E$31,A8,'Encounters RawData'!$J$2:$J$31)</x:f>
        <x:v>271000</x:v>
      </x:c>
      <x:c r="F8" s="6" t="n">
        <x:f>SUMIF('Encounters RawData'!$E$2:$E$31,A8,'Encounters RawData'!$K$2:$K$31)</x:f>
        <x:v>246000</x:v>
      </x:c>
      <x:c r="G8" s="13" t="n">
        <x:f>IFERROR(F8/E8,0)</x:f>
        <x:v>0.9077490774907749</x:v>
      </x:c>
      <x:c r="H8" s="13" t="n">
        <x:f>AVERAGEIF('Encounters RawData'!$E$2:$E$31,A8,'Encounters RawData'!$L$2:$L$31)</x:f>
        <x:v>0.5</x:v>
      </x:c>
    </x:row>
    <x:row r="9">
      <x:c r="A9" s="3" t="str">
        <x:v>Emergency</x:v>
      </x:c>
      <x:c r="B9" s="3" t="n">
        <x:f>COUNTIF('Encounters RawData'!$E$2:$E$31,A9)</x:f>
        <x:v>5</x:v>
      </x:c>
      <x:c r="C9" s="12" t="n">
        <x:f>AVERAGEIF('Encounters RawData'!$E$2:$E$31,A9,'Encounters RawData'!$H$2:$H$31)</x:f>
        <x:v>13</x:v>
      </x:c>
      <x:c r="D9" s="12" t="n">
        <x:f>AVERAGEIF('Encounters RawData'!$E$2:$E$31,A9,'Encounters RawData'!$I$2:$I$31)</x:f>
        <x:v>0</x:v>
      </x:c>
      <x:c r="E9" s="6" t="n">
        <x:f>SUMIF('Encounters RawData'!$E$2:$E$31,A9,'Encounters RawData'!$J$2:$J$31)</x:f>
        <x:v>106000</x:v>
      </x:c>
      <x:c r="F9" s="6" t="n">
        <x:f>SUMIF('Encounters RawData'!$E$2:$E$31,A9,'Encounters RawData'!$K$2:$K$31)</x:f>
        <x:v>102000</x:v>
      </x:c>
      <x:c r="G9" s="13" t="n">
        <x:f>IFERROR(F9/E9,0)</x:f>
        <x:v>0.9622641509433962</x:v>
      </x:c>
      <x:c r="H9" s="13" t="n">
        <x:f>AVERAGEIF('Encounters RawData'!$E$2:$E$31,A9,'Encounters RawData'!$L$2:$L$31)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  <x:col min="3" max="3" width="6.440000057220459" hidden="0" customWidth="1"/>
    <x:col min="4" max="4" width="30" hidden="0" customWidth="1"/>
  </x:cols>
  <x:sheetData>
    <x:row r="1">
      <x:c r="A1" s="7" t="str">
        <x:v>Codebook &amp; KPI Definitions</x:v>
      </x:c>
      <x:c r="B1" s="7"/>
      <x:c r="C1" s="7"/>
      <x:c r="D1" s="7"/>
    </x:row>
    <x:row r="3">
      <x:c r="A3" s="10" t="str">
        <x:v>Field / KPI</x:v>
      </x:c>
      <x:c r="B3" s="10" t="str">
        <x:v>Definition</x:v>
      </x:c>
      <x:c r="C3" s="10" t="str">
        <x:v>Unit</x:v>
      </x:c>
      <x:c r="D3" s="10" t="str">
        <x:v>Data-quality rule</x:v>
      </x:c>
    </x:row>
    <x:row r="4">
      <x:c r="A4" s="66" t="str">
        <x:v>wait_minutes</x:v>
      </x:c>
      <x:c r="B4" s="66" t="str">
        <x:v>Registration-to-service waiting time</x:v>
      </x:c>
      <x:c r="C4" s="66" t="str">
        <x:v>Minutes</x:v>
      </x:c>
      <x:c r="D4" s="66" t="str">
        <x:v>Must be &gt;= 0</x:v>
      </x:c>
    </x:row>
    <x:row r="5">
      <x:c r="A5" s="66" t="str">
        <x:v>bed_days</x:v>
      </x:c>
      <x:c r="B5" s="66" t="str">
        <x:v>Administrative length of stay</x:v>
      </x:c>
      <x:c r="C5" s="66" t="str">
        <x:v>Days</x:v>
      </x:c>
      <x:c r="D5" s="66" t="str">
        <x:v>Zero for same-day encounters</x:v>
      </x:c>
    </x:row>
    <x:row r="6">
      <x:c r="A6" s="66" t="str">
        <x:v>collection_rate</x:v>
      </x:c>
      <x:c r="B6" s="66" t="str">
        <x:v>Collected amount divided by billed amount</x:v>
      </x:c>
      <x:c r="C6" s="66" t="str">
        <x:v>Percent</x:v>
      </x:c>
      <x:c r="D6" s="66" t="str">
        <x:v>Billed amount cannot be negative</x:v>
      </x:c>
    </x:row>
    <x:row r="7">
      <x:c r="A7" s="66" t="str">
        <x:v>readmitted_30d</x:v>
      </x:c>
      <x:c r="B7" s="66" t="str">
        <x:v>Synthetic return within 30 days</x:v>
      </x:c>
      <x:c r="C7" s="66" t="str">
        <x:v>Boolean</x:v>
      </x:c>
      <x:c r="D7" s="66" t="str">
        <x:v>0 or 1 only</x:v>
      </x:c>
    </x:row>
    <x:row r="8">
      <x:c r="A8" s="66" t="str">
        <x:v>Data privacy</x:v>
      </x:c>
      <x:c r="B8" s="66" t="str">
        <x:v>All records are synthetic</x:v>
      </x:c>
      <x:c r="C8" s="66" t="str">
        <x:v>N/A</x:v>
      </x:c>
      <x:c r="D8" s="66" t="str">
        <x:v>No real patient information</x:v>
      </x:c>
    </x:row>
  </x:sheetData>
  <x:mergeCells>
    <x:mergeCell ref="A1:D1"/>
  </x:mergeCells>
  <x:pageMargins left="0.7" right="0.7" top="0.75" bottom="0.75" header="0.3" footer="0.3"/>
</x:worksheet>
</file>