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c1108c72b4d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d8f84d81794b464b"/>
    <x:sheet xmlns:r="http://schemas.openxmlformats.org/officeDocument/2006/relationships" name="Analysis Summary" sheetId="2" r:id="Refabcce3608d4f17"/>
    <x:sheet xmlns:r="http://schemas.openxmlformats.org/officeDocument/2006/relationships" name="Project Data" sheetId="3" r:id="Rdb5fcb7fff9b409e"/>
  </x:sheets>
</x:workbook>
</file>

<file path=xl/comments1.xml><?xml version="1.0" encoding="utf-8"?>
<x:comments xmlns:x="http://schemas.openxmlformats.org/spreadsheetml/2006/main">
  <x:authors>
    <x:author>tc={D8EAD174-B7DE-2263-CF1E-132748941DA2}</x:author>
  </x:authors>
  <x:commentList>
    <x:comment ref="A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portfolio dataset. No employer or customer data is included.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.0"/>
    <x:numFmt numFmtId="202" formatCode="0.0"/>
    <x:numFmt numFmtId="203" formatCode="0.0%"/>
    <x:numFmt numFmtId="204" formatCode="#,##0"/>
    <x:numFmt numFmtId="205" formatCode="&quot;₹&quot;#,##0"/>
  </x:numFmts>
  <x:fonts count="13">
    <x:font>
      <x:sz val="11"/>
      <x:name val="Carlito"/>
    </x:font>
    <x:font>
      <x:sz val="10"/>
      <x:color rgb="FF18201F"/>
      <x:name val="Aptos"/>
    </x:font>
    <x:font>
      <x:b/>
      <x:sz val="10"/>
      <x:color rgb="FFFFFFFF"/>
      <x:name val="Aptos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sz val="10"/>
      <x:color rgb="FFBEE9DC"/>
      <x:name val="Carlito"/>
    </x:font>
    <x:font>
      <x:b/>
      <x:sz val="10"/>
      <x:color rgb="FF0A776D"/>
      <x:name val="Carlito"/>
    </x:font>
    <x:font>
      <x:b/>
      <x:sz val="22"/>
      <x:color rgb="FF18201F"/>
      <x:name val="Carlito"/>
    </x:font>
    <x:font>
      <x:b/>
      <x:sz val="11"/>
      <x:color rgb="FF18201F"/>
      <x:name val="Carlito"/>
    </x:font>
    <x:font>
      <x:b/>
      <x:sz val="20"/>
      <x:color rgb="FFFFFFFF"/>
      <x:name val="Carlito"/>
    </x:font>
    <x:font>
      <x:b/>
      <x:sz val="11"/>
      <x:color rgb="FF0A776D"/>
      <x:name val="Carlito"/>
    </x:font>
    <x:font>
      <x:sz val="11"/>
      <x:color rgb="FF69737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201F"/>
      </x:patternFill>
    </x:fill>
    <x:fill>
      <x:patternFill patternType="solid">
        <x:fgColor rgb="FF0A776D"/>
      </x:patternFill>
    </x:fill>
    <x:fill>
      <x:patternFill patternType="solid">
        <x:fgColor rgb="FFBEE9DC"/>
      </x:patternFill>
    </x:fill>
    <x:fill>
      <x:patternFill patternType="solid">
        <x:fgColor rgb="FFFFFFFF"/>
      </x:patternFill>
    </x:fill>
    <x:fill>
      <x:patternFill patternType="solid">
        <x:fgColor rgb="FFD7EF72"/>
      </x:patternFill>
    </x:fill>
    <x:fill>
      <x:patternFill patternType="solid">
        <x:fgColor rgb="FFF5F4EF"/>
      </x:patternFill>
    </x:fill>
  </x:fills>
  <x:borders count="14">
    <x:border/>
    <x:border>
      <x:right style="thin">
        <x:color rgb="FFDDE3DF"/>
      </x:right>
      <x:bottom style="thin">
        <x:color rgb="FFDDE3DF"/>
      </x:bottom>
    </x:border>
    <x:border>
      <x:left style="thin">
        <x:color rgb="FFDDE3DF"/>
      </x:left>
      <x:right style="thin">
        <x:color rgb="FFDDE3DF"/>
      </x:right>
      <x:bottom style="thin">
        <x:color rgb="FFDDE3DF"/>
      </x:bottom>
    </x:border>
    <x:border>
      <x:left style="thin">
        <x:color rgb="FFDDE3DF"/>
      </x:left>
      <x:bottom style="thin">
        <x:color rgb="FFDDE3DF"/>
      </x:bottom>
    </x:border>
    <x:border>
      <x:right style="thin">
        <x:color rgb="FFDDE3DF"/>
      </x:right>
      <x:top style="thin">
        <x:color rgb="FFDDE3DF"/>
      </x:top>
      <x:bottom style="thin">
        <x:color rgb="FFDDE3DF"/>
      </x:bottom>
    </x:border>
    <x:border>
      <x:left style="thin">
        <x:color rgb="FFDDE3DF"/>
      </x:left>
      <x:right style="thin">
        <x:color rgb="FFDDE3DF"/>
      </x:right>
      <x:top style="thin">
        <x:color rgb="FFDDE3DF"/>
      </x:top>
      <x:bottom style="thin">
        <x:color rgb="FFDDE3DF"/>
      </x:bottom>
    </x:border>
    <x:border>
      <x:left style="thin">
        <x:color rgb="FFDDE3DF"/>
      </x:left>
      <x:top style="thin">
        <x:color rgb="FFDDE3DF"/>
      </x:top>
      <x:bottom style="thin">
        <x:color rgb="FFDDE3DF"/>
      </x:bottom>
    </x:border>
    <x:border>
      <x:right style="thin">
        <x:color rgb="FFDDE3DF"/>
      </x:right>
      <x:top style="thin">
        <x:color rgb="FFDDE3DF"/>
      </x:top>
    </x:border>
    <x:border>
      <x:left style="thin">
        <x:color rgb="FFDDE3DF"/>
      </x:left>
      <x:right style="thin">
        <x:color rgb="FFDDE3DF"/>
      </x:right>
      <x:top style="thin">
        <x:color rgb="FFDDE3DF"/>
      </x:top>
    </x:border>
    <x:border>
      <x:left style="thin">
        <x:color rgb="FFDDE3DF"/>
      </x:left>
      <x:top style="thin">
        <x:color rgb="FFDDE3DF"/>
      </x:top>
    </x:border>
    <x:border>
      <x:top style="thin">
        <x:color rgb="FFDDE3DF"/>
      </x:top>
    </x:border>
    <x:border>
      <x:left style="thin">
        <x:color rgb="FFDDE3DF"/>
      </x:left>
    </x:border>
    <x:border>
      <x:right style="thin">
        <x:color rgb="FFDDE3DF"/>
      </x:right>
    </x:border>
    <x:border>
      <x:bottom style="thin">
        <x:color rgb="FFDDE3DF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2" fontId="0" fillId="0" borderId="5" xfId="0" applyNumberFormat="1" applyFont="1" applyFill="1" applyBorder="1"/>
    <x:xf numFmtId="202" fontId="4" fillId="3" borderId="5" xfId="0" applyNumberFormat="1" applyFont="1" applyFill="1" applyBorder="1"/>
    <x:xf numFmtId="202" fontId="0" fillId="0" borderId="8" xfId="0" applyNumberFormat="1" applyFont="1" applyFill="1" applyBorder="1"/>
    <x:xf numFmtId="203" fontId="0" fillId="0" borderId="5" xfId="0" applyNumberFormat="1" applyFont="1" applyFill="1" applyBorder="1"/>
    <x:xf numFmtId="203" fontId="0" fillId="0" borderId="8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vertical="center"/>
    </x:xf>
    <x:xf numFmtId="204" fontId="8" fillId="5" borderId="0" xfId="0" applyNumberFormat="1" applyFont="1" applyFill="1" applyBorder="1" applyAlignment="1">
      <x:alignment vertical="center"/>
    </x:xf>
    <x:xf numFmtId="203" fontId="8" fillId="5" borderId="0" xfId="0" applyNumberFormat="1" applyFont="1" applyFill="1" applyBorder="1" applyAlignment="1">
      <x:alignment vertical="center"/>
    </x:xf>
    <x:xf numFmtId="202" fontId="8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205" fontId="10" fillId="2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/>
    <x:xf numFmtId="201" fontId="8" fillId="5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vertical="center" wrapText="1"/>
    </x:xf>
    <x:xf numFmtId="0" fontId="5" fillId="2" borderId="9" xfId="0" applyNumberFormat="1" applyFont="1" applyFill="1" applyBorder="1" applyAlignment="1">
      <x:alignment vertical="center"/>
    </x:xf>
    <x:xf numFmtId="0" fontId="5" fillId="2" borderId="10" xfId="0" applyNumberFormat="1" applyFont="1" applyFill="1" applyBorder="1" applyAlignment="1">
      <x:alignment vertical="center"/>
    </x:xf>
    <x:xf numFmtId="0" fontId="5" fillId="2" borderId="7" xfId="0" applyNumberFormat="1" applyFont="1" applyFill="1" applyBorder="1" applyAlignment="1">
      <x:alignment vertical="center"/>
    </x:xf>
    <x:xf numFmtId="0" fontId="5" fillId="2" borderId="11" xfId="0" applyNumberFormat="1" applyFont="1" applyFill="1" applyBorder="1" applyAlignment="1">
      <x:alignment vertical="center"/>
    </x:xf>
    <x:xf numFmtId="0" fontId="5" fillId="2" borderId="12" xfId="0" applyNumberFormat="1" applyFont="1" applyFill="1" applyBorder="1" applyAlignment="1">
      <x:alignment vertical="center"/>
    </x:xf>
    <x:xf numFmtId="0" fontId="6" fillId="2" borderId="11" xfId="0" applyNumberFormat="1" applyFont="1" applyFill="1" applyBorder="1"/>
    <x:xf numFmtId="0" fontId="6" fillId="2" borderId="12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7" fillId="4" borderId="11" xfId="0" applyNumberFormat="1" applyFont="1" applyFill="1" applyBorder="1"/>
    <x:xf numFmtId="0" fontId="7" fillId="4" borderId="12" xfId="0" applyNumberFormat="1" applyFont="1" applyFill="1" applyBorder="1"/>
    <x:xf numFmtId="204" fontId="8" fillId="5" borderId="11" xfId="0" applyNumberFormat="1" applyFont="1" applyFill="1" applyBorder="1" applyAlignment="1">
      <x:alignment vertical="center"/>
    </x:xf>
    <x:xf numFmtId="202" fontId="8" fillId="5" borderId="12" xfId="0" applyNumberFormat="1" applyFont="1" applyFill="1" applyBorder="1" applyAlignment="1">
      <x:alignment vertical="center"/>
    </x:xf>
    <x:xf numFmtId="0" fontId="9" fillId="6" borderId="11" xfId="0" applyNumberFormat="1" applyFont="1" applyFill="1" applyBorder="1"/>
    <x:xf numFmtId="0" fontId="12" fillId="7" borderId="12" xfId="0" applyNumberFormat="1" applyFont="1" applyFill="1" applyBorder="1" applyAlignment="1">
      <x:alignment vertical="center" wrapText="1"/>
    </x:xf>
    <x:xf numFmtId="205" fontId="10" fillId="2" borderId="11" xfId="0" applyNumberFormat="1" applyFont="1" applyFill="1" applyBorder="1" applyAlignment="1">
      <x:alignment vertical="center"/>
    </x:xf>
    <x:xf numFmtId="0" fontId="4" fillId="3" borderId="1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b887be96b546fb" /><Relationship Type="http://schemas.openxmlformats.org/officeDocument/2006/relationships/theme" Target="/xl/theme/theme1.xml" Id="Ra1c051d19d5c462b" /><Relationship Type="http://schemas.openxmlformats.org/officeDocument/2006/relationships/sharedStrings" Target="/xl/sharedStrings.xml" Id="Ra3f453163e3c4d8c" /><Relationship Type="http://schemas.openxmlformats.org/officeDocument/2006/relationships/worksheet" Target="/xl/worksheets/sheet1.xml" Id="Rd8f84d81794b464b" /><Relationship Type="http://schemas.openxmlformats.org/officeDocument/2006/relationships/worksheet" Target="/xl/worksheets/sheet2.xml" Id="Refabcce3608d4f17" /><Relationship Type="http://schemas.openxmlformats.org/officeDocument/2006/relationships/worksheet" Target="/xl/worksheets/sheet3.xml" Id="Rdb5fcb7fff9b409e" /><Relationship Type="http://schemas.microsoft.com/office/2017/10/relationships/person" Target="/xl/persons/person.xml" Id="R932de89b2650486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d671ee80e94bb6" /><Relationship Type="http://schemas.openxmlformats.org/officeDocument/2006/relationships/chart" Target="/xl/drawings/charts/chart2.xml" Id="R8c557b1f146e425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AI-assisted workflow maintains higher quality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Projects</c:v>
          </c:tx>
          <c:cat>
            <c:strRef>
              <c:f>'Analysis Summary'!$A$4:$A$5</c:f>
              <c:strCache>
                <c:ptCount val="0"/>
              </c:strCache>
            </c:strRef>
          </c:cat>
          <c:val>
            <c:numRef>
              <c:f>'Analysis Summary'!$B$4:$B$5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Avg Quality</c:v>
          </c:tx>
          <c:cat>
            <c:strRef>
              <c:f>'Analysis Summary'!$A$4:$A$5</c:f>
              <c:strCache>
                <c:ptCount val="0"/>
              </c:strCache>
            </c:strRef>
          </c:cat>
          <c:val>
            <c:numRef>
              <c:f>'Analysis Summary'!$C$4:$C$5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Project volume by department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Projects</c:v>
          </c:tx>
          <c:cat>
            <c:strRef>
              <c:f>'Analysis Summary'!$E$4:$E$7</c:f>
              <c:strCache>
                <c:ptCount val="0"/>
              </c:strCache>
            </c:strRef>
          </c:cat>
          <c:val>
            <c:numRef>
              <c:f>'Analysis Summary'!$F$4:$F$7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d671ee80e94bb6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557b1f146e425c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Atif" id="{6DE97010-B608-43B9-9432-5CD9FF01AC83}"/>
</xltc:personList>
</file>

<file path=xl/tables/table1.xml><?xml version="1.0" encoding="utf-8"?>
<x:table xmlns:x="http://schemas.openxmlformats.org/spreadsheetml/2006/main" id="1" name="PublishingProjects" displayName="PublishingProjects" ref="A1:U721" headerRowCount="1" totalsRowCount="0" totalsRowShown="0">
  <x:tableColumns count="21">
    <x:tableColumn id="1" name="project_id"/>
    <x:tableColumn id="2" name="created_date"/>
    <x:tableColumn id="3" name="due_date"/>
    <x:tableColumn id="4" name="completed_date"/>
    <x:tableColumn id="5" name="department"/>
    <x:tableColumn id="6" name="content_type"/>
    <x:tableColumn id="7" name="complexity"/>
    <x:tableColumn id="8" name="workflow"/>
    <x:tableColumn id="9" name="prompt_template"/>
    <x:tableColumn id="10" name="pages"/>
    <x:tableColumn id="11" name="actual_hours"/>
    <x:tableColumn id="12" name="baseline_hours"/>
    <x:tableColumn id="13" name="hours_saved"/>
    <x:tableColumn id="14" name="actual_cost_inr"/>
    <x:tableColumn id="15" name="baseline_cost_inr"/>
    <x:tableColumn id="16" name="cost_saved_inr"/>
    <x:tableColumn id="17" name="revisions"/>
    <x:tableColumn id="18" name="first_pass_approved"/>
    <x:tableColumn id="19" name="quality_score"/>
    <x:tableColumn id="20" name="on_time"/>
    <x:tableColumn id="21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3" dT="2026-07-10T08:35:39.503" personId="{6DE97010-B608-43B9-9432-5CD9FF01AC83}" id="{D8EAD174-B7DE-2263-CF1E-132748941DA2}">
    <xltc:text>Synthetic portfolio dataset. No employer or customer data is included.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8a30865715343b4" /><Relationship Type="http://schemas.openxmlformats.org/officeDocument/2006/relationships/vmlDrawing" Target="/xl/drawings/vmldrawing.vml" Id="R04ceeec2eb7240d4" /><Relationship Type="http://schemas.microsoft.com/office/2017/10/relationships/threadedComment" Target="/xl/threadedcomments/threadedcomment.xml" Id="Rbfd6e8b59c7a41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c0f15b785714e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f94636a554e40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3" hidden="0" customWidth="1"/>
    <x:col min="4" max="4" width="13" hidden="0" customWidth="1"/>
    <x:col min="5" max="5" width="13" hidden="0" customWidth="1"/>
    <x:col min="6" max="6" width="3" hidden="0" customWidth="1"/>
    <x:col min="7" max="7" width="13" hidden="0" customWidth="1"/>
    <x:col min="8" max="8" width="13" hidden="0" customWidth="1"/>
    <x:col min="9" max="9" width="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53" t="str">
        <x:v>AI Publishing Operations Analytics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5"/>
    </x:row>
    <x:row r="2">
      <x:c r="A2" s="56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57"/>
    </x:row>
    <x:row r="3">
      <x:c r="A3" s="58" t="str">
        <x:v>Executive KPI dashboard · 720 synthetic publishing projects · 2025–2026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59"/>
    </x:row>
    <x:row r="4">
      <x:c r="A4" s="60"/>
      <x:c r="B4" s="61"/>
      <x:c r="C4" s="61"/>
      <x:c r="D4" s="61"/>
      <x:c r="E4" s="61"/>
      <x:c r="F4" s="61"/>
      <x:c r="G4" s="61"/>
      <x:c r="H4" s="61"/>
      <x:c r="I4" s="61"/>
      <x:c r="J4" s="61"/>
      <x:c r="K4" s="61"/>
      <x:c r="L4" s="62"/>
    </x:row>
    <x:row r="5">
      <x:c r="A5" s="63" t="str">
        <x:v>Projects</x:v>
      </x:c>
      <x:c r="B5" s="35" t="str">
        <x:v>Projects</x:v>
      </x:c>
      <x:c r="C5" s="61"/>
      <x:c r="D5" s="35" t="str">
        <x:v>On-time Rate</x:v>
      </x:c>
      <x:c r="E5" s="35" t="str">
        <x:v>On-time Rate</x:v>
      </x:c>
      <x:c r="F5" s="61"/>
      <x:c r="G5" s="35" t="str">
        <x:v>First-pass Approval</x:v>
      </x:c>
      <x:c r="H5" s="35" t="str">
        <x:v>First-pass Approval</x:v>
      </x:c>
      <x:c r="I5" s="61"/>
      <x:c r="J5" s="35" t="str">
        <x:v>Avg Quality</x:v>
      </x:c>
      <x:c r="K5" s="35" t="str">
        <x:v>Avg Quality</x:v>
      </x:c>
      <x:c r="L5" s="64" t="str">
        <x:v>Avg Quality</x:v>
      </x:c>
    </x:row>
    <x:row r="6">
      <x:c r="A6" s="65" t="n">
        <x:f>COUNTA('Project Data'!$A$2:$A$721)</x:f>
        <x:v>720</x:v>
      </x:c>
      <x:c r="B6" s="39"/>
      <x:c r="C6" s="61"/>
      <x:c r="D6" s="40" t="n">
        <x:f>COUNTIF('Project Data'!$T$2:$T$721,"Yes")/COUNTIF('Project Data'!$U$2:$U$721,"Completed")</x:f>
        <x:v>0.9826498422712934</x:v>
      </x:c>
      <x:c r="E6" s="40"/>
      <x:c r="F6" s="61"/>
      <x:c r="G6" s="40" t="n">
        <x:f>COUNTIF('Project Data'!$R$2:$R$721,"Yes")/COUNTIF('Project Data'!$U$2:$U$721,"Completed")</x:f>
        <x:v>0.8028391167192429</x:v>
      </x:c>
      <x:c r="H6" s="40"/>
      <x:c r="I6" s="61"/>
      <x:c r="J6" s="41" t="n">
        <x:f>AVERAGE('Project Data'!$S$2:$S$721)</x:f>
        <x:v>87.29319444444447</x:v>
      </x:c>
      <x:c r="K6" s="41"/>
      <x:c r="L6" s="66"/>
    </x:row>
    <x:row r="7">
      <x:c r="A7" s="65"/>
      <x:c r="B7" s="39"/>
      <x:c r="C7" s="61"/>
      <x:c r="D7" s="40"/>
      <x:c r="E7" s="40"/>
      <x:c r="F7" s="61"/>
      <x:c r="G7" s="40"/>
      <x:c r="H7" s="40"/>
      <x:c r="I7" s="61"/>
      <x:c r="J7" s="41"/>
      <x:c r="K7" s="41"/>
      <x:c r="L7" s="66"/>
    </x:row>
    <x:row r="8">
      <x:c r="A8" s="60"/>
      <x:c r="B8" s="61"/>
      <x:c r="C8" s="61"/>
      <x:c r="D8" s="61"/>
      <x:c r="E8" s="61"/>
      <x:c r="F8" s="61"/>
      <x:c r="G8" s="61"/>
      <x:c r="H8" s="61"/>
      <x:c r="I8" s="61"/>
      <x:c r="J8" s="61"/>
      <x:c r="K8" s="61"/>
      <x:c r="L8" s="62"/>
    </x:row>
    <x:row r="9">
      <x:c r="A9" s="60"/>
      <x:c r="B9" s="61"/>
      <x:c r="C9" s="61"/>
      <x:c r="D9" s="61"/>
      <x:c r="E9" s="61"/>
      <x:c r="F9" s="61"/>
      <x:c r="G9" s="61"/>
      <x:c r="H9" s="61"/>
      <x:c r="I9" s="61"/>
      <x:c r="J9" s="61"/>
      <x:c r="K9" s="61"/>
      <x:c r="L9" s="62"/>
    </x:row>
    <x:row r="10">
      <x:c r="A10" s="67" t="str">
        <x:v>ESTIMATED COST SAVED</x:v>
      </x:c>
      <x:c r="B10" s="43"/>
      <x:c r="C10" s="43"/>
      <x:c r="D10" s="61"/>
      <x:c r="E10" s="47" t="str">
        <x:v>HOURS SAVED</x:v>
      </x:c>
      <x:c r="F10" s="47"/>
      <x:c r="G10" s="47"/>
      <x:c r="H10" s="61"/>
      <x:c r="I10" s="52" t="str">
        <x:v>Insight
AI-assisted and manual workflows can be compared consistently across speed, quality, rework, and savings. Use the Analysis Summary sheet for drill-down.</x:v>
      </x:c>
      <x:c r="J10" s="52"/>
      <x:c r="K10" s="52"/>
      <x:c r="L10" s="68"/>
    </x:row>
    <x:row r="11">
      <x:c r="A11" s="69" t="n">
        <x:f>SUM('Project Data'!$P$2:$P$721)</x:f>
        <x:v>7732320.800000007</x:v>
      </x:c>
      <x:c r="B11" s="46"/>
      <x:c r="C11" s="46"/>
      <x:c r="D11" s="61"/>
      <x:c r="E11" s="48" t="n">
        <x:f>SUM('Project Data'!$M$2:$M$721)</x:f>
        <x:v>8675.100000000002</x:v>
      </x:c>
      <x:c r="F11" s="48"/>
      <x:c r="G11" s="48"/>
      <x:c r="H11" s="61"/>
      <x:c r="I11" s="52"/>
      <x:c r="J11" s="52"/>
      <x:c r="K11" s="52"/>
      <x:c r="L11" s="68"/>
    </x:row>
    <x:row r="12">
      <x:c r="A12" s="69"/>
      <x:c r="B12" s="46"/>
      <x:c r="C12" s="46"/>
      <x:c r="D12" s="61"/>
      <x:c r="E12" s="48"/>
      <x:c r="F12" s="48"/>
      <x:c r="G12" s="48"/>
      <x:c r="H12" s="61"/>
      <x:c r="I12" s="52"/>
      <x:c r="J12" s="52"/>
      <x:c r="K12" s="52"/>
      <x:c r="L12" s="68"/>
    </x:row>
    <x:row r="13">
      <x:c r="A13" s="69"/>
      <x:c r="B13" s="46"/>
      <x:c r="C13" s="46"/>
      <x:c r="D13" s="61"/>
      <x:c r="E13" s="48"/>
      <x:c r="F13" s="48"/>
      <x:c r="G13" s="48"/>
      <x:c r="H13" s="61"/>
      <x:c r="I13" s="52"/>
      <x:c r="J13" s="52"/>
      <x:c r="K13" s="52"/>
      <x:c r="L13" s="68"/>
    </x:row>
    <x:row r="14">
      <x:c r="A14" s="60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2"/>
    </x:row>
    <x:row r="15">
      <x:c r="A15" s="60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2"/>
    </x:row>
    <x:row r="16">
      <x:c r="A16" s="15" t="str">
        <x:v>Workbook navigation: Executive Dashboard → Analysis Summary → Project Data</x:v>
      </x:c>
      <x:c r="B16" s="70"/>
      <x:c r="C16" s="70"/>
      <x:c r="D16" s="70"/>
      <x:c r="E16" s="70"/>
      <x:c r="F16" s="70"/>
      <x:c r="G16" s="70"/>
      <x:c r="H16" s="70"/>
      <x:c r="I16" s="70"/>
      <x:c r="J16" s="70"/>
      <x:c r="K16" s="70"/>
      <x:c r="L16" s="13"/>
    </x:row>
  </x:sheetData>
  <x:mergeCells>
    <x:mergeCell ref="A1:L2"/>
    <x:mergeCell ref="A3:L3"/>
    <x:mergeCell ref="A5:B5"/>
    <x:mergeCell ref="A6:B7"/>
    <x:mergeCell ref="D5:E5"/>
    <x:mergeCell ref="D6:E7"/>
    <x:mergeCell ref="G5:H5"/>
    <x:mergeCell ref="G6:H7"/>
    <x:mergeCell ref="J5:L5"/>
    <x:mergeCell ref="J6:L7"/>
    <x:mergeCell ref="A10:C10"/>
    <x:mergeCell ref="A11:C13"/>
    <x:mergeCell ref="E10:G10"/>
    <x:mergeCell ref="E11:G13"/>
    <x:mergeCell ref="I10:L13"/>
    <x:mergeCell ref="A16:L16"/>
  </x:mergeCells>
  <x:pageMargins left="0.7" right="0.7" top="0.75" bottom="0.75" header="0.3" footer="0.3"/>
  <x:legacyDrawing xmlns:r="http://schemas.openxmlformats.org/officeDocument/2006/relationships" r:id="R04ceeec2eb7240d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6" customHeight="1">
      <x:c r="A1" s="10" t="str">
        <x:v>Analysis Summary · Formula-driven from Project Data</x:v>
      </x:c>
      <x:c r="B1" s="10"/>
      <x:c r="C1" s="10"/>
      <x:c r="D1" s="10"/>
      <x:c r="E1" s="10"/>
      <x:c r="F1" s="10"/>
      <x:c r="G1" s="10"/>
      <x:c r="H1" s="10"/>
    </x:row>
    <x:row r="3">
      <x:c r="A3" s="13" t="str">
        <x:v>Workflow</x:v>
      </x:c>
      <x:c r="B3" s="14" t="str">
        <x:v>Projects</x:v>
      </x:c>
      <x:c r="C3" s="14" t="str">
        <x:v>Avg Quality</x:v>
      </x:c>
      <x:c r="D3" s="14"/>
      <x:c r="E3" s="14" t="str">
        <x:v>Department</x:v>
      </x:c>
      <x:c r="F3" s="15" t="str">
        <x:v>Projects</x:v>
      </x:c>
    </x:row>
    <x:row r="4">
      <x:c r="A4" s="16" t="str">
        <x:v>AI-Assisted</x:v>
      </x:c>
      <x:c r="B4" s="17" t="n">
        <x:f>COUNTIF('Project Data'!$H$2:$H$721,A4)</x:f>
        <x:v>511</x:v>
      </x:c>
      <x:c r="C4" s="24" t="n">
        <x:f>AVERAGEIF('Project Data'!$H$2:$H$721,A4,'Project Data'!$S$2:$S$721)</x:f>
        <x:v>88.25890410958895</x:v>
      </x:c>
      <x:c r="D4" s="17"/>
      <x:c r="E4" s="17" t="str">
        <x:v>Editorial</x:v>
      </x:c>
      <x:c r="F4" s="18" t="n">
        <x:f>COUNTIF('Project Data'!$E$2:$E$721,E4)</x:f>
        <x:v>268</x:v>
      </x:c>
    </x:row>
    <x:row r="5">
      <x:c r="A5" s="16" t="str">
        <x:v>Manual</x:v>
      </x:c>
      <x:c r="B5" s="17" t="n">
        <x:f>COUNTIF('Project Data'!$H$2:$H$721,A5)</x:f>
        <x:v>209</x:v>
      </x:c>
      <x:c r="C5" s="24" t="n">
        <x:f>AVERAGEIF('Project Data'!$H$2:$H$721,A5,'Project Data'!$S$2:$S$721)</x:f>
        <x:v>84.93205741626794</x:v>
      </x:c>
      <x:c r="D5" s="17"/>
      <x:c r="E5" s="17" t="str">
        <x:v>Design</x:v>
      </x:c>
      <x:c r="F5" s="18" t="n">
        <x:f>COUNTIF('Project Data'!$E$2:$E$721,E5)</x:f>
        <x:v>163</x:v>
      </x:c>
    </x:row>
    <x:row r="6">
      <x:c r="A6" s="16"/>
      <x:c r="B6" s="17"/>
      <x:c r="C6" s="24"/>
      <x:c r="D6" s="17"/>
      <x:c r="E6" s="17" t="str">
        <x:v>Production</x:v>
      </x:c>
      <x:c r="F6" s="18" t="n">
        <x:f>COUNTIF('Project Data'!$E$2:$E$721,E6)</x:f>
        <x:v>145</x:v>
      </x:c>
    </x:row>
    <x:row r="7">
      <x:c r="A7" s="16"/>
      <x:c r="B7" s="17"/>
      <x:c r="C7" s="24"/>
      <x:c r="D7" s="17"/>
      <x:c r="E7" s="17" t="str">
        <x:v>Digital Learning</x:v>
      </x:c>
      <x:c r="F7" s="18" t="n">
        <x:f>COUNTIF('Project Data'!$E$2:$E$721,E7)</x:f>
        <x:v>144</x:v>
      </x:c>
    </x:row>
    <x:row r="8">
      <x:c r="A8" s="16"/>
      <x:c r="B8" s="17"/>
      <x:c r="C8" s="24"/>
      <x:c r="D8" s="17"/>
      <x:c r="E8" s="17"/>
      <x:c r="F8" s="18"/>
    </x:row>
    <x:row r="9">
      <x:c r="A9" s="16"/>
      <x:c r="B9" s="17"/>
      <x:c r="C9" s="24"/>
      <x:c r="D9" s="17"/>
      <x:c r="E9" s="17"/>
      <x:c r="F9" s="18"/>
    </x:row>
    <x:row r="10">
      <x:c r="A10" s="19" t="str">
        <x:v>Content Type</x:v>
      </x:c>
      <x:c r="B10" s="20" t="str">
        <x:v>Projects</x:v>
      </x:c>
      <x:c r="C10" s="25" t="str">
        <x:v>Avg Quality</x:v>
      </x:c>
      <x:c r="D10" s="20" t="str">
        <x:v>Rework Rate</x:v>
      </x:c>
      <x:c r="E10" s="20" t="str">
        <x:v>Hours Saved</x:v>
      </x:c>
      <x:c r="F10" s="18"/>
    </x:row>
    <x:row r="11">
      <x:c r="A11" s="16" t="str">
        <x:v>School Textbook</x:v>
      </x:c>
      <x:c r="B11" s="17" t="n">
        <x:f>COUNTIF('Project Data'!$F$2:$F$721,A11)</x:f>
        <x:v>180</x:v>
      </x:c>
      <x:c r="C11" s="24" t="n">
        <x:f>AVERAGEIF('Project Data'!$F$2:$F$721,A11,'Project Data'!$S$2:$S$721)</x:f>
        <x:v>87.25611111111108</x:v>
      </x:c>
      <x:c r="D11" s="27" t="n">
        <x:f>COUNTIFS('Project Data'!$F$2:$F$721,A11,'Project Data'!$Q$2:$Q$721,"&gt;0")/B11</x:f>
        <x:v>0.19444444444444445</x:v>
      </x:c>
      <x:c r="E11" s="29" t="n">
        <x:f>SUMIF('Project Data'!$F$2:$F$721,A11,'Project Data'!$M$2:$M$721)</x:f>
        <x:v>2595.199999999999</x:v>
      </x:c>
      <x:c r="F11" s="18"/>
    </x:row>
    <x:row r="12">
      <x:c r="A12" s="16" t="str">
        <x:v>Workbook</x:v>
      </x:c>
      <x:c r="B12" s="17" t="n">
        <x:f>COUNTIF('Project Data'!$F$2:$F$721,A12)</x:f>
        <x:v>183</x:v>
      </x:c>
      <x:c r="C12" s="24" t="n">
        <x:f>AVERAGEIF('Project Data'!$F$2:$F$721,A12,'Project Data'!$S$2:$S$721)</x:f>
        <x:v>87.3551912568306</x:v>
      </x:c>
      <x:c r="D12" s="27" t="n">
        <x:f>COUNTIFS('Project Data'!$F$2:$F$721,A12,'Project Data'!$Q$2:$Q$721,"&gt;0")/B12</x:f>
        <x:v>0.22404371584699453</x:v>
      </x:c>
      <x:c r="E12" s="29" t="n">
        <x:f>SUMIF('Project Data'!$F$2:$F$721,A12,'Project Data'!$M$2:$M$721)</x:f>
        <x:v>3012.4000000000005</x:v>
      </x:c>
      <x:c r="F12" s="18"/>
    </x:row>
    <x:row r="13">
      <x:c r="A13" s="16" t="str">
        <x:v>Assessment</x:v>
      </x:c>
      <x:c r="B13" s="17" t="n">
        <x:f>COUNTIF('Project Data'!$F$2:$F$721,A13)</x:f>
        <x:v>118</x:v>
      </x:c>
      <x:c r="C13" s="24" t="n">
        <x:f>AVERAGEIF('Project Data'!$F$2:$F$721,A13,'Project Data'!$S$2:$S$721)</x:f>
        <x:v>87.03305084745764</x:v>
      </x:c>
      <x:c r="D13" s="27" t="n">
        <x:f>COUNTIFS('Project Data'!$F$2:$F$721,A13,'Project Data'!$Q$2:$Q$721,"&gt;0")/B13</x:f>
        <x:v>0.1694915254237288</x:v>
      </x:c>
      <x:c r="E13" s="29" t="n">
        <x:f>SUMIF('Project Data'!$F$2:$F$721,A13,'Project Data'!$M$2:$M$721)</x:f>
        <x:v>662.3000000000003</x:v>
      </x:c>
      <x:c r="F13" s="18"/>
    </x:row>
    <x:row r="14">
      <x:c r="A14" s="16" t="str">
        <x:v>Illustration</x:v>
      </x:c>
      <x:c r="B14" s="17" t="n">
        <x:f>COUNTIF('Project Data'!$F$2:$F$721,A14)</x:f>
        <x:v>133</x:v>
      </x:c>
      <x:c r="C14" s="24" t="n">
        <x:f>AVERAGEIF('Project Data'!$F$2:$F$721,A14,'Project Data'!$S$2:$S$721)</x:f>
        <x:v>87.41353383458649</x:v>
      </x:c>
      <x:c r="D14" s="27" t="n">
        <x:f>COUNTIFS('Project Data'!$F$2:$F$721,A14,'Project Data'!$Q$2:$Q$721,"&gt;0")/B14</x:f>
        <x:v>0.18045112781954886</x:v>
      </x:c>
      <x:c r="E14" s="29" t="n">
        <x:f>SUMIF('Project Data'!$F$2:$F$721,A14,'Project Data'!$M$2:$M$721)</x:f>
        <x:v>708.1999999999998</x:v>
      </x:c>
      <x:c r="F14" s="18"/>
    </x:row>
    <x:row r="15">
      <x:c r="A15" s="21" t="str">
        <x:v>E-book</x:v>
      </x:c>
      <x:c r="B15" s="22" t="n">
        <x:f>COUNTIF('Project Data'!$F$2:$F$721,A15)</x:f>
        <x:v>106</x:v>
      </x:c>
      <x:c r="C15" s="26" t="n">
        <x:f>AVERAGEIF('Project Data'!$F$2:$F$721,A15,'Project Data'!$S$2:$S$721)</x:f>
        <x:v>87.38773584905664</x:v>
      </x:c>
      <x:c r="D15" s="28" t="n">
        <x:f>COUNTIFS('Project Data'!$F$2:$F$721,A15,'Project Data'!$Q$2:$Q$721,"&gt;0")/B15</x:f>
        <x:v>0.22641509433962265</x:v>
      </x:c>
      <x:c r="E15" s="30" t="n">
        <x:f>SUMIF('Project Data'!$F$2:$F$721,A15,'Project Data'!$M$2:$M$721)</x:f>
        <x:v>1697</x:v>
      </x:c>
      <x:c r="F15" s="23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c0f15b785714e3b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28" customHeight="1">
      <x:c r="A1" s="4" t="str">
        <x:v>project_id</x:v>
      </x:c>
      <x:c r="B1" s="4" t="str">
        <x:v>created_date</x:v>
      </x:c>
      <x:c r="C1" s="4" t="str">
        <x:v>due_date</x:v>
      </x:c>
      <x:c r="D1" s="4" t="str">
        <x:v>completed_date</x:v>
      </x:c>
      <x:c r="E1" s="4" t="str">
        <x:v>department</x:v>
      </x:c>
      <x:c r="F1" s="4" t="str">
        <x:v>content_type</x:v>
      </x:c>
      <x:c r="G1" s="4" t="str">
        <x:v>complexity</x:v>
      </x:c>
      <x:c r="H1" s="4" t="str">
        <x:v>workflow</x:v>
      </x:c>
      <x:c r="I1" s="4" t="str">
        <x:v>prompt_template</x:v>
      </x:c>
      <x:c r="J1" s="4" t="str">
        <x:v>pages</x:v>
      </x:c>
      <x:c r="K1" s="4" t="str">
        <x:v>actual_hours</x:v>
      </x:c>
      <x:c r="L1" s="4" t="str">
        <x:v>baseline_hours</x:v>
      </x:c>
      <x:c r="M1" s="4" t="str">
        <x:v>hours_saved</x:v>
      </x:c>
      <x:c r="N1" s="4" t="str">
        <x:v>actual_cost_inr</x:v>
      </x:c>
      <x:c r="O1" s="4" t="str">
        <x:v>baseline_cost_inr</x:v>
      </x:c>
      <x:c r="P1" s="4" t="str">
        <x:v>cost_saved_inr</x:v>
      </x:c>
      <x:c r="Q1" s="4" t="str">
        <x:v>revisions</x:v>
      </x:c>
      <x:c r="R1" s="4" t="str">
        <x:v>first_pass_approved</x:v>
      </x:c>
      <x:c r="S1" s="4" t="str">
        <x:v>quality_score</x:v>
      </x:c>
      <x:c r="T1" s="4" t="str">
        <x:v>on_time</x:v>
      </x:c>
      <x:c r="U1" s="4" t="str">
        <x:v>status</x:v>
      </x:c>
    </x:row>
    <x:row r="2">
      <x:c r="A2" s="1" t="str">
        <x:v>PUB-0001</x:v>
      </x:c>
      <x:c r="B2" s="5" t="n">
        <x:v>45772</x:v>
      </x:c>
      <x:c r="C2" s="5" t="n">
        <x:v>45791</x:v>
      </x:c>
      <x:c r="D2" s="5" t="n">
        <x:v>45782</x:v>
      </x:c>
      <x:c r="E2" s="1" t="str">
        <x:v>Editorial</x:v>
      </x:c>
      <x:c r="F2" s="1" t="str">
        <x:v>Workbook</x:v>
      </x:c>
      <x:c r="G2" s="1" t="str">
        <x:v>Medium</x:v>
      </x:c>
      <x:c r="H2" s="1" t="str">
        <x:v>AI-Assisted</x:v>
      </x:c>
      <x:c r="I2" s="1" t="str">
        <x:v>Editorial QA</x:v>
      </x:c>
      <x:c r="J2" s="1" t="n">
        <x:v>181</x:v>
      </x:c>
      <x:c r="K2" s="6" t="n">
        <x:v>54</x:v>
      </x:c>
      <x:c r="L2" s="6" t="n">
        <x:v>86.9</x:v>
      </x:c>
      <x:c r="M2" s="6" t="n">
        <x:v>32.9</x:v>
      </x:c>
      <x:c r="N2" s="6" t="n">
        <x:v>35958.13</x:v>
      </x:c>
      <x:c r="O2" s="6" t="n">
        <x:v>57850.31</x:v>
      </x:c>
      <x:c r="P2" s="6" t="n">
        <x:v>21892.18</x:v>
      </x:c>
      <x:c r="Q2" s="1" t="n">
        <x:v>1</x:v>
      </x:c>
      <x:c r="R2" s="1" t="str">
        <x:v>No</x:v>
      </x:c>
      <x:c r="S2" s="7" t="n">
        <x:v>81.7</x:v>
      </x:c>
      <x:c r="T2" s="1" t="str">
        <x:v>Yes</x:v>
      </x:c>
      <x:c r="U2" s="1" t="str">
        <x:v>Completed</x:v>
      </x:c>
    </x:row>
    <x:row r="3">
      <x:c r="A3" s="1" t="str">
        <x:v>PUB-0002</x:v>
      </x:c>
      <x:c r="B3" s="5" t="n">
        <x:v>46087</x:v>
      </x:c>
      <x:c r="C3" s="5" t="n">
        <x:v>46091</x:v>
      </x:c>
      <x:c r="D3" s="5" t="n">
        <x:v>46089</x:v>
      </x:c>
      <x:c r="E3" s="1" t="str">
        <x:v>Editorial</x:v>
      </x:c>
      <x:c r="F3" s="1" t="str">
        <x:v>Assessment</x:v>
      </x:c>
      <x:c r="G3" s="1" t="str">
        <x:v>Medium</x:v>
      </x:c>
      <x:c r="H3" s="1" t="str">
        <x:v>Manual</x:v>
      </x:c>
      <x:c r="I3" s="1" t="str">
        <x:v>Manual / NA</x:v>
      </x:c>
      <x:c r="J3" s="1" t="n">
        <x:v>4</x:v>
      </x:c>
      <x:c r="K3" s="6" t="n">
        <x:v>1.5</x:v>
      </x:c>
      <x:c r="L3" s="6" t="n">
        <x:v>1.6</x:v>
      </x:c>
      <x:c r="M3" s="6" t="n">
        <x:v>0.1</x:v>
      </x:c>
      <x:c r="N3" s="6" t="n">
        <x:v>1183.4</x:v>
      </x:c>
      <x:c r="O3" s="6" t="n">
        <x:v>1246.91</x:v>
      </x:c>
      <x:c r="P3" s="6" t="n">
        <x:v>63.51</x:v>
      </x:c>
      <x:c r="Q3" s="1" t="n">
        <x:v>2</x:v>
      </x:c>
      <x:c r="R3" s="1" t="str">
        <x:v>No</x:v>
      </x:c>
      <x:c r="S3" s="7" t="n">
        <x:v>77.6</x:v>
      </x:c>
      <x:c r="T3" s="1" t="str">
        <x:v>Yes</x:v>
      </x:c>
      <x:c r="U3" s="1" t="str">
        <x:v>Completed</x:v>
      </x:c>
    </x:row>
    <x:row r="4">
      <x:c r="A4" s="1" t="str">
        <x:v>PUB-0003</x:v>
      </x:c>
      <x:c r="B4" s="5" t="n">
        <x:v>46025</x:v>
      </x:c>
      <x:c r="C4" s="5" t="n">
        <x:v>46036</x:v>
      </x:c>
      <x:c r="D4" s="5" t="n">
        <x:v>46030</x:v>
      </x:c>
      <x:c r="E4" s="1" t="str">
        <x:v>Digital Learning</x:v>
      </x:c>
      <x:c r="F4" s="1" t="str">
        <x:v>Assessment</x:v>
      </x:c>
      <x:c r="G4" s="1" t="str">
        <x:v>Medium</x:v>
      </x:c>
      <x:c r="H4" s="1" t="str">
        <x:v>Manual</x:v>
      </x:c>
      <x:c r="I4" s="1" t="str">
        <x:v>Manual / NA</x:v>
      </x:c>
      <x:c r="J4" s="1" t="n">
        <x:v>62</x:v>
      </x:c>
      <x:c r="K4" s="6" t="n">
        <x:v>34</x:v>
      </x:c>
      <x:c r="L4" s="6" t="n">
        <x:v>35.6</x:v>
      </x:c>
      <x:c r="M4" s="6" t="n">
        <x:v>1.6</x:v>
      </x:c>
      <x:c r="N4" s="6" t="n">
        <x:v>31484.69</x:v>
      </x:c>
      <x:c r="O4" s="6" t="n">
        <x:v>32960.12</x:v>
      </x:c>
      <x:c r="P4" s="6" t="n">
        <x:v>1475.43</x:v>
      </x:c>
      <x:c r="Q4" s="1" t="n">
        <x:v>0</x:v>
      </x:c>
      <x:c r="R4" s="1" t="str">
        <x:v>Yes</x:v>
      </x:c>
      <x:c r="S4" s="7" t="n">
        <x:v>77</x:v>
      </x:c>
      <x:c r="T4" s="1" t="str">
        <x:v>Yes</x:v>
      </x:c>
      <x:c r="U4" s="1" t="str">
        <x:v>Completed</x:v>
      </x:c>
    </x:row>
    <x:row r="5">
      <x:c r="A5" s="1" t="str">
        <x:v>PUB-0004</x:v>
      </x:c>
      <x:c r="B5" s="5" t="n">
        <x:v>45704</x:v>
      </x:c>
      <x:c r="C5" s="5" t="n">
        <x:v>45714</x:v>
      </x:c>
      <x:c r="D5" s="5" t="n">
        <x:v>45709</x:v>
      </x:c>
      <x:c r="E5" s="1" t="str">
        <x:v>Production</x:v>
      </x:c>
      <x:c r="F5" s="1" t="str">
        <x:v>Illustration</x:v>
      </x:c>
      <x:c r="G5" s="1" t="str">
        <x:v>High</x:v>
      </x:c>
      <x:c r="H5" s="1" t="str">
        <x:v>Manual</x:v>
      </x:c>
      <x:c r="I5" s="1" t="str">
        <x:v>Manual / NA</x:v>
      </x:c>
      <x:c r="J5" s="1" t="n">
        <x:v>33</x:v>
      </x:c>
      <x:c r="K5" s="6" t="n">
        <x:v>18.8</x:v>
      </x:c>
      <x:c r="L5" s="6" t="n">
        <x:v>19.3</x:v>
      </x:c>
      <x:c r="M5" s="6" t="n">
        <x:v>0.5</x:v>
      </x:c>
      <x:c r="N5" s="6" t="n">
        <x:v>20060.64</x:v>
      </x:c>
      <x:c r="O5" s="6" t="n">
        <x:v>20620.23</x:v>
      </x:c>
      <x:c r="P5" s="6" t="n">
        <x:v>559.59</x:v>
      </x:c>
      <x:c r="Q5" s="1" t="n">
        <x:v>1</x:v>
      </x:c>
      <x:c r="R5" s="1" t="str">
        <x:v>No</x:v>
      </x:c>
      <x:c r="S5" s="7" t="n">
        <x:v>76</x:v>
      </x:c>
      <x:c r="T5" s="1" t="str">
        <x:v>Yes</x:v>
      </x:c>
      <x:c r="U5" s="1" t="str">
        <x:v>Completed</x:v>
      </x:c>
    </x:row>
    <x:row r="6">
      <x:c r="A6" s="1" t="str">
        <x:v>PUB-0005</x:v>
      </x:c>
      <x:c r="B6" s="5" t="n">
        <x:v>45731</x:v>
      </x:c>
      <x:c r="C6" s="5" t="n">
        <x:v>45742</x:v>
      </x:c>
      <x:c r="D6" s="5" t="n">
        <x:v>45735</x:v>
      </x:c>
      <x:c r="E6" s="1" t="str">
        <x:v>Production</x:v>
      </x:c>
      <x:c r="F6" s="1" t="str">
        <x:v>School Textbook</x:v>
      </x:c>
      <x:c r="G6" s="1" t="str">
        <x:v>Medium</x:v>
      </x:c>
      <x:c r="H6" s="1" t="str">
        <x:v>Manual</x:v>
      </x:c>
      <x:c r="I6" s="1" t="str">
        <x:v>Manual / NA</x:v>
      </x:c>
      <x:c r="J6" s="1" t="n">
        <x:v>49</x:v>
      </x:c>
      <x:c r="K6" s="6" t="n">
        <x:v>21.9</x:v>
      </x:c>
      <x:c r="L6" s="6" t="n">
        <x:v>20.6</x:v>
      </x:c>
      <x:c r="M6" s="6" t="n">
        <x:v>0</x:v>
      </x:c>
      <x:c r="N6" s="6" t="n">
        <x:v>21770.37</x:v>
      </x:c>
      <x:c r="O6" s="6" t="n">
        <x:v>20428.4</x:v>
      </x:c>
      <x:c r="P6" s="6" t="n">
        <x:v>0</x:v>
      </x:c>
      <x:c r="Q6" s="1" t="n">
        <x:v>1</x:v>
      </x:c>
      <x:c r="R6" s="1" t="str">
        <x:v>No</x:v>
      </x:c>
      <x:c r="S6" s="7" t="n">
        <x:v>83.6</x:v>
      </x:c>
      <x:c r="T6" s="1" t="str">
        <x:v>Yes</x:v>
      </x:c>
      <x:c r="U6" s="1" t="str">
        <x:v>Completed</x:v>
      </x:c>
    </x:row>
    <x:row r="7">
      <x:c r="A7" s="1" t="str">
        <x:v>PUB-0006</x:v>
      </x:c>
      <x:c r="B7" s="5" t="n">
        <x:v>46068</x:v>
      </x:c>
      <x:c r="C7" s="5" t="n">
        <x:v>46085</x:v>
      </x:c>
      <x:c r="D7" s="5" t="n">
        <x:v>46080</x:v>
      </x:c>
      <x:c r="E7" s="1" t="str">
        <x:v>Editorial</x:v>
      </x:c>
      <x:c r="F7" s="1" t="str">
        <x:v>School Textbook</x:v>
      </x:c>
      <x:c r="G7" s="1" t="str">
        <x:v>Medium</x:v>
      </x:c>
      <x:c r="H7" s="1" t="str">
        <x:v>Manual</x:v>
      </x:c>
      <x:c r="I7" s="1" t="str">
        <x:v>Manual / NA</x:v>
      </x:c>
      <x:c r="J7" s="1" t="n">
        <x:v>191</x:v>
      </x:c>
      <x:c r="K7" s="6" t="n">
        <x:v>92.4</x:v>
      </x:c>
      <x:c r="L7" s="6" t="n">
        <x:v>96.3</x:v>
      </x:c>
      <x:c r="M7" s="6" t="n">
        <x:v>3.9</x:v>
      </x:c>
      <x:c r="N7" s="6" t="n">
        <x:v>102312.1</x:v>
      </x:c>
      <x:c r="O7" s="6" t="n">
        <x:v>106632.16</x:v>
      </x:c>
      <x:c r="P7" s="6" t="n">
        <x:v>4320.06</x:v>
      </x:c>
      <x:c r="Q7" s="1" t="n">
        <x:v>0</x:v>
      </x:c>
      <x:c r="R7" s="1" t="str">
        <x:v>Yes</x:v>
      </x:c>
      <x:c r="S7" s="7" t="n">
        <x:v>83.1</x:v>
      </x:c>
      <x:c r="T7" s="1" t="str">
        <x:v>Yes</x:v>
      </x:c>
      <x:c r="U7" s="1" t="str">
        <x:v>Completed</x:v>
      </x:c>
    </x:row>
    <x:row r="8">
      <x:c r="A8" s="1" t="str">
        <x:v>PUB-0007</x:v>
      </x:c>
      <x:c r="B8" s="5" t="n">
        <x:v>45927</x:v>
      </x:c>
      <x:c r="C8" s="5" t="n">
        <x:v>45931</x:v>
      </x:c>
      <x:c r="D8" s="5" t="n">
        <x:v>45928</x:v>
      </x:c>
      <x:c r="E8" s="1" t="str">
        <x:v>Production</x:v>
      </x:c>
      <x:c r="F8" s="1" t="str">
        <x:v>Workbook</x:v>
      </x:c>
      <x:c r="G8" s="1" t="str">
        <x:v>Medium</x:v>
      </x:c>
      <x:c r="H8" s="1" t="str">
        <x:v>AI-Assisted</x:v>
      </x:c>
      <x:c r="I8" s="1" t="str">
        <x:v>Few-shot v2</x:v>
      </x:c>
      <x:c r="J8" s="1" t="n">
        <x:v>43</x:v>
      </x:c>
      <x:c r="K8" s="6" t="n">
        <x:v>8</x:v>
      </x:c>
      <x:c r="L8" s="6" t="n">
        <x:v>16.3</x:v>
      </x:c>
      <x:c r="M8" s="6" t="n">
        <x:v>8.3</x:v>
      </x:c>
      <x:c r="N8" s="6" t="n">
        <x:v>5638.6</x:v>
      </x:c>
      <x:c r="O8" s="6" t="n">
        <x:v>11516.84</x:v>
      </x:c>
      <x:c r="P8" s="6" t="n">
        <x:v>5878.24</x:v>
      </x:c>
      <x:c r="Q8" s="1" t="n">
        <x:v>0</x:v>
      </x:c>
      <x:c r="R8" s="1" t="str">
        <x:v>Yes</x:v>
      </x:c>
      <x:c r="S8" s="7" t="n">
        <x:v>90.5</x:v>
      </x:c>
      <x:c r="T8" s="1" t="str">
        <x:v>Yes</x:v>
      </x:c>
      <x:c r="U8" s="1" t="str">
        <x:v>Completed</x:v>
      </x:c>
    </x:row>
    <x:row r="9">
      <x:c r="A9" s="1" t="str">
        <x:v>PUB-0008</x:v>
      </x:c>
      <x:c r="B9" s="5" t="n">
        <x:v>46137</x:v>
      </x:c>
      <x:c r="C9" s="5" t="n">
        <x:v>46143</x:v>
      </x:c>
      <x:c r="D9" s="5" t="n">
        <x:v>46138</x:v>
      </x:c>
      <x:c r="E9" s="1" t="str">
        <x:v>Design</x:v>
      </x:c>
      <x:c r="F9" s="1" t="str">
        <x:v>E-book</x:v>
      </x:c>
      <x:c r="G9" s="1" t="str">
        <x:v>Medium</x:v>
      </x:c>
      <x:c r="H9" s="1" t="str">
        <x:v>Manual</x:v>
      </x:c>
      <x:c r="I9" s="1" t="str">
        <x:v>Manual / NA</x:v>
      </x:c>
      <x:c r="J9" s="1" t="n">
        <x:v>10</x:v>
      </x:c>
      <x:c r="K9" s="6" t="n">
        <x:v>4.1</x:v>
      </x:c>
      <x:c r="L9" s="6" t="n">
        <x:v>3.9</x:v>
      </x:c>
      <x:c r="M9" s="6" t="n">
        <x:v>0</x:v>
      </x:c>
      <x:c r="N9" s="6" t="n">
        <x:v>4204.3</x:v>
      </x:c>
      <x:c r="O9" s="6" t="n">
        <x:v>3950</x:v>
      </x:c>
      <x:c r="P9" s="6" t="n">
        <x:v>0</x:v>
      </x:c>
      <x:c r="Q9" s="1" t="n">
        <x:v>0</x:v>
      </x:c>
      <x:c r="R9" s="1" t="str">
        <x:v>Yes</x:v>
      </x:c>
      <x:c r="S9" s="7" t="n">
        <x:v>79.4</x:v>
      </x:c>
      <x:c r="T9" s="1" t="str">
        <x:v>Yes</x:v>
      </x:c>
      <x:c r="U9" s="1" t="str">
        <x:v>Completed</x:v>
      </x:c>
    </x:row>
    <x:row r="10">
      <x:c r="A10" s="1" t="str">
        <x:v>PUB-0009</x:v>
      </x:c>
      <x:c r="B10" s="5" t="n">
        <x:v>45819</x:v>
      </x:c>
      <x:c r="C10" s="5" t="n">
        <x:v>45829</x:v>
      </x:c>
      <x:c r="D10" s="5" t="n">
        <x:v>45826</x:v>
      </x:c>
      <x:c r="E10" s="1" t="str">
        <x:v>Design</x:v>
      </x:c>
      <x:c r="F10" s="1" t="str">
        <x:v>E-book</x:v>
      </x:c>
      <x:c r="G10" s="1" t="str">
        <x:v>High</x:v>
      </x:c>
      <x:c r="H10" s="1" t="str">
        <x:v>Manual</x:v>
      </x:c>
      <x:c r="I10" s="1" t="str">
        <x:v>Manual / NA</x:v>
      </x:c>
      <x:c r="J10" s="1" t="n">
        <x:v>75</x:v>
      </x:c>
      <x:c r="K10" s="6" t="n">
        <x:v>51.3</x:v>
      </x:c>
      <x:c r="L10" s="6" t="n">
        <x:v>52.2</x:v>
      </x:c>
      <x:c r="M10" s="6" t="n">
        <x:v>0.9</x:v>
      </x:c>
      <x:c r="N10" s="6" t="n">
        <x:v>36074.44</x:v>
      </x:c>
      <x:c r="O10" s="6" t="n">
        <x:v>36732.31</x:v>
      </x:c>
      <x:c r="P10" s="6" t="n">
        <x:v>657.87</x:v>
      </x:c>
      <x:c r="Q10" s="1" t="n">
        <x:v>0</x:v>
      </x:c>
      <x:c r="R10" s="1" t="str">
        <x:v>Yes</x:v>
      </x:c>
      <x:c r="S10" s="7" t="n">
        <x:v>88.6</x:v>
      </x:c>
      <x:c r="T10" s="1" t="str">
        <x:v>Yes</x:v>
      </x:c>
      <x:c r="U10" s="1" t="str">
        <x:v>Completed</x:v>
      </x:c>
    </x:row>
    <x:row r="11">
      <x:c r="A11" s="1" t="str">
        <x:v>PUB-0010</x:v>
      </x:c>
      <x:c r="B11" s="5" t="n">
        <x:v>45823</x:v>
      </x:c>
      <x:c r="C11" s="5" t="n">
        <x:v>45828</x:v>
      </x:c>
      <x:c r="D11" s="5" t="n">
        <x:v>45824</x:v>
      </x:c>
      <x:c r="E11" s="1" t="str">
        <x:v>Design</x:v>
      </x:c>
      <x:c r="F11" s="1" t="str">
        <x:v>Illustration</x:v>
      </x:c>
      <x:c r="G11" s="1" t="str">
        <x:v>Medium</x:v>
      </x:c>
      <x:c r="H11" s="1" t="str">
        <x:v>AI-Assisted</x:v>
      </x:c>
      <x:c r="I11" s="1" t="str">
        <x:v>Structured v3</x:v>
      </x:c>
      <x:c r="J11" s="1" t="n">
        <x:v>45</x:v>
      </x:c>
      <x:c r="K11" s="6" t="n">
        <x:v>9.8</x:v>
      </x:c>
      <x:c r="L11" s="6" t="n">
        <x:v>17.3</x:v>
      </x:c>
      <x:c r="M11" s="6" t="n">
        <x:v>7.5</x:v>
      </x:c>
      <x:c r="N11" s="6" t="n">
        <x:v>11198.07</x:v>
      </x:c>
      <x:c r="O11" s="6" t="n">
        <x:v>19776.59</x:v>
      </x:c>
      <x:c r="P11" s="6" t="n">
        <x:v>8578.52</x:v>
      </x:c>
      <x:c r="Q11" s="1" t="n">
        <x:v>0</x:v>
      </x:c>
      <x:c r="R11" s="1" t="str">
        <x:v>Yes</x:v>
      </x:c>
      <x:c r="S11" s="7" t="n">
        <x:v>83.5</x:v>
      </x:c>
      <x:c r="T11" s="1" t="str">
        <x:v>Yes</x:v>
      </x:c>
      <x:c r="U11" s="1" t="str">
        <x:v>Completed</x:v>
      </x:c>
    </x:row>
    <x:row r="12">
      <x:c r="A12" s="1" t="str">
        <x:v>PUB-0011</x:v>
      </x:c>
      <x:c r="B12" s="5" t="n">
        <x:v>45738</x:v>
      </x:c>
      <x:c r="C12" s="5" t="n">
        <x:v>45755</x:v>
      </x:c>
      <x:c r="D12" s="5" t="n">
        <x:v>45746</x:v>
      </x:c>
      <x:c r="E12" s="1" t="str">
        <x:v>Editorial</x:v>
      </x:c>
      <x:c r="F12" s="1" t="str">
        <x:v>Workbook</x:v>
      </x:c>
      <x:c r="G12" s="1" t="str">
        <x:v>Low</x:v>
      </x:c>
      <x:c r="H12" s="1" t="str">
        <x:v>AI-Assisted</x:v>
      </x:c>
      <x:c r="I12" s="1" t="str">
        <x:v>Editorial QA</x:v>
      </x:c>
      <x:c r="J12" s="1" t="n">
        <x:v>204</x:v>
      </x:c>
      <x:c r="K12" s="6" t="n">
        <x:v>59.8</x:v>
      </x:c>
      <x:c r="L12" s="6" t="n">
        <x:v>84.5</x:v>
      </x:c>
      <x:c r="M12" s="6" t="n">
        <x:v>24.7</x:v>
      </x:c>
      <x:c r="N12" s="6" t="n">
        <x:v>43807.3</x:v>
      </x:c>
      <x:c r="O12" s="6" t="n">
        <x:v>61902.12</x:v>
      </x:c>
      <x:c r="P12" s="6" t="n">
        <x:v>18094.82</x:v>
      </x:c>
      <x:c r="Q12" s="1" t="n">
        <x:v>0</x:v>
      </x:c>
      <x:c r="R12" s="1" t="str">
        <x:v>Yes</x:v>
      </x:c>
      <x:c r="S12" s="7" t="n">
        <x:v>77.9</x:v>
      </x:c>
      <x:c r="T12" s="1" t="str">
        <x:v>Yes</x:v>
      </x:c>
      <x:c r="U12" s="1" t="str">
        <x:v>Completed</x:v>
      </x:c>
    </x:row>
    <x:row r="13">
      <x:c r="A13" s="1" t="str">
        <x:v>PUB-0012</x:v>
      </x:c>
      <x:c r="B13" s="5" t="n">
        <x:v>45977</x:v>
      </x:c>
      <x:c r="C13" s="5" t="n">
        <x:v>45983</x:v>
      </x:c>
      <x:c r="D13" s="5" t="n">
        <x:v>45979</x:v>
      </x:c>
      <x:c r="E13" s="1" t="str">
        <x:v>Design</x:v>
      </x:c>
      <x:c r="F13" s="1" t="str">
        <x:v>Illustration</x:v>
      </x:c>
      <x:c r="G13" s="1" t="str">
        <x:v>Low</x:v>
      </x:c>
      <x:c r="H13" s="1" t="str">
        <x:v>AI-Assisted</x:v>
      </x:c>
      <x:c r="I13" s="1" t="str">
        <x:v>Visual Brief</x:v>
      </x:c>
      <x:c r="J13" s="1" t="n">
        <x:v>61</x:v>
      </x:c>
      <x:c r="K13" s="6" t="n">
        <x:v>11.5</x:v>
      </x:c>
      <x:c r="L13" s="6" t="n">
        <x:v>20.5</x:v>
      </x:c>
      <x:c r="M13" s="6" t="n">
        <x:v>9</x:v>
      </x:c>
      <x:c r="N13" s="6" t="n">
        <x:v>10857.78</x:v>
      </x:c>
      <x:c r="O13" s="6" t="n">
        <x:v>19336.15</x:v>
      </x:c>
      <x:c r="P13" s="6" t="n">
        <x:v>8478.37</x:v>
      </x:c>
      <x:c r="Q13" s="1" t="n">
        <x:v>0</x:v>
      </x:c>
      <x:c r="R13" s="1" t="str">
        <x:v>Yes</x:v>
      </x:c>
      <x:c r="S13" s="7" t="n">
        <x:v>80.2</x:v>
      </x:c>
      <x:c r="T13" s="1" t="str">
        <x:v>Yes</x:v>
      </x:c>
      <x:c r="U13" s="1" t="str">
        <x:v>Completed</x:v>
      </x:c>
    </x:row>
    <x:row r="14">
      <x:c r="A14" s="1" t="str">
        <x:v>PUB-0013</x:v>
      </x:c>
      <x:c r="B14" s="5" t="n">
        <x:v>45718</x:v>
      </x:c>
      <x:c r="C14" s="5" t="n">
        <x:v>45723</x:v>
      </x:c>
      <x:c r="D14" s="5" t="n">
        <x:v>45719</x:v>
      </x:c>
      <x:c r="E14" s="1" t="str">
        <x:v>Editorial</x:v>
      </x:c>
      <x:c r="F14" s="1" t="str">
        <x:v>E-book</x:v>
      </x:c>
      <x:c r="G14" s="1" t="str">
        <x:v>Medium</x:v>
      </x:c>
      <x:c r="H14" s="1" t="str">
        <x:v>Manual</x:v>
      </x:c>
      <x:c r="I14" s="1" t="str">
        <x:v>Manual / NA</x:v>
      </x:c>
      <x:c r="J14" s="1" t="n">
        <x:v>26</x:v>
      </x:c>
      <x:c r="K14" s="6" t="n">
        <x:v>10.7</x:v>
      </x:c>
      <x:c r="L14" s="6" t="n">
        <x:v>11</x:v>
      </x:c>
      <x:c r="M14" s="6" t="n">
        <x:v>0.3</x:v>
      </x:c>
      <x:c r="N14" s="6" t="n">
        <x:v>9839.9</x:v>
      </x:c>
      <x:c r="O14" s="6" t="n">
        <x:v>10072.46</x:v>
      </x:c>
      <x:c r="P14" s="6" t="n">
        <x:v>232.56</x:v>
      </x:c>
      <x:c r="Q14" s="1" t="n">
        <x:v>0</x:v>
      </x:c>
      <x:c r="R14" s="1" t="str">
        <x:v>Yes</x:v>
      </x:c>
      <x:c r="S14" s="7" t="n">
        <x:v>90.3</x:v>
      </x:c>
      <x:c r="T14" s="1" t="str">
        <x:v>Yes</x:v>
      </x:c>
      <x:c r="U14" s="1" t="str">
        <x:v>Completed</x:v>
      </x:c>
    </x:row>
    <x:row r="15">
      <x:c r="A15" s="1" t="str">
        <x:v>PUB-0014</x:v>
      </x:c>
      <x:c r="B15" s="5" t="n">
        <x:v>45852</x:v>
      </x:c>
      <x:c r="C15" s="5" t="n">
        <x:v>45862</x:v>
      </x:c>
      <x:c r="D15" s="5" t="n">
        <x:v>45853</x:v>
      </x:c>
      <x:c r="E15" s="1" t="str">
        <x:v>Editorial</x:v>
      </x:c>
      <x:c r="F15" s="1" t="str">
        <x:v>Assessment</x:v>
      </x:c>
      <x:c r="G15" s="1" t="str">
        <x:v>Medium</x:v>
      </x:c>
      <x:c r="H15" s="1" t="str">
        <x:v>AI-Assisted</x:v>
      </x:c>
      <x:c r="I15" s="1" t="str">
        <x:v>Few-shot v2</x:v>
      </x:c>
      <x:c r="J15" s="1" t="n">
        <x:v>10</x:v>
      </x:c>
      <x:c r="K15" s="6" t="n">
        <x:v>2.9</x:v>
      </x:c>
      <x:c r="L15" s="6" t="n">
        <x:v>5.8</x:v>
      </x:c>
      <x:c r="M15" s="6" t="n">
        <x:v>2.9</x:v>
      </x:c>
      <x:c r="N15" s="6" t="n">
        <x:v>2468.8</x:v>
      </x:c>
      <x:c r="O15" s="6" t="n">
        <x:v>4907.95</x:v>
      </x:c>
      <x:c r="P15" s="6" t="n">
        <x:v>2439.15</x:v>
      </x:c>
      <x:c r="Q15" s="1" t="n">
        <x:v>0</x:v>
      </x:c>
      <x:c r="R15" s="1" t="str">
        <x:v>Yes</x:v>
      </x:c>
      <x:c r="S15" s="7" t="n">
        <x:v>84.1</x:v>
      </x:c>
      <x:c r="T15" s="1" t="str">
        <x:v>Yes</x:v>
      </x:c>
      <x:c r="U15" s="1" t="str">
        <x:v>Completed</x:v>
      </x:c>
    </x:row>
    <x:row r="16">
      <x:c r="A16" s="1" t="str">
        <x:v>PUB-0015</x:v>
      </x:c>
      <x:c r="B16" s="5" t="n">
        <x:v>45852</x:v>
      </x:c>
      <x:c r="C16" s="5" t="n">
        <x:v>45862</x:v>
      </x:c>
      <x:c r="D16" s="5" t="n">
        <x:v>45853</x:v>
      </x:c>
      <x:c r="E16" s="1" t="str">
        <x:v>Design</x:v>
      </x:c>
      <x:c r="F16" s="1" t="str">
        <x:v>School Textbook</x:v>
      </x:c>
      <x:c r="G16" s="1" t="str">
        <x:v>Medium</x:v>
      </x:c>
      <x:c r="H16" s="1" t="str">
        <x:v>AI-Assisted</x:v>
      </x:c>
      <x:c r="I16" s="1" t="str">
        <x:v>Few-shot v2</x:v>
      </x:c>
      <x:c r="J16" s="1" t="n">
        <x:v>27</x:v>
      </x:c>
      <x:c r="K16" s="6" t="n">
        <x:v>9.1</x:v>
      </x:c>
      <x:c r="L16" s="6" t="n">
        <x:v>14.8</x:v>
      </x:c>
      <x:c r="M16" s="6" t="n">
        <x:v>5.7</x:v>
      </x:c>
      <x:c r="N16" s="6" t="n">
        <x:v>6145.18</x:v>
      </x:c>
      <x:c r="O16" s="6" t="n">
        <x:v>10018.94</x:v>
      </x:c>
      <x:c r="P16" s="6" t="n">
        <x:v>3873.76</x:v>
      </x:c>
      <x:c r="Q16" s="1" t="n">
        <x:v>0</x:v>
      </x:c>
      <x:c r="R16" s="1" t="str">
        <x:v>Yes</x:v>
      </x:c>
      <x:c r="S16" s="7" t="n">
        <x:v>96.5</x:v>
      </x:c>
      <x:c r="T16" s="1" t="str">
        <x:v>Yes</x:v>
      </x:c>
      <x:c r="U16" s="1" t="str">
        <x:v>Completed</x:v>
      </x:c>
    </x:row>
    <x:row r="17">
      <x:c r="A17" s="1" t="str">
        <x:v>PUB-0016</x:v>
      </x:c>
      <x:c r="B17" s="5" t="n">
        <x:v>46155</x:v>
      </x:c>
      <x:c r="C17" s="5" t="n">
        <x:v>46164</x:v>
      </x:c>
      <x:c r="D17" s="5" t="str"/>
      <x:c r="E17" s="1" t="str">
        <x:v>Design</x:v>
      </x:c>
      <x:c r="F17" s="1" t="str">
        <x:v>E-book</x:v>
      </x:c>
      <x:c r="G17" s="1" t="str">
        <x:v>Medium</x:v>
      </x:c>
      <x:c r="H17" s="1" t="str">
        <x:v>Manual</x:v>
      </x:c>
      <x:c r="I17" s="1" t="str">
        <x:v>Manual / NA</x:v>
      </x:c>
      <x:c r="J17" s="1" t="n">
        <x:v>50</x:v>
      </x:c>
      <x:c r="K17" s="6" t="n">
        <x:v>26.9</x:v>
      </x:c>
      <x:c r="L17" s="6" t="n">
        <x:v>28.8</x:v>
      </x:c>
      <x:c r="M17" s="6" t="n">
        <x:v>1.9</x:v>
      </x:c>
      <x:c r="N17" s="6" t="n">
        <x:v>28030.75</x:v>
      </x:c>
      <x:c r="O17" s="6" t="n">
        <x:v>30050.63</x:v>
      </x:c>
      <x:c r="P17" s="6" t="n">
        <x:v>2019.88</x:v>
      </x:c>
      <x:c r="Q17" s="1" t="n">
        <x:v>0</x:v>
      </x:c>
      <x:c r="R17" s="1" t="str"/>
      <x:c r="S17" s="7" t="n">
        <x:v>72.6</x:v>
      </x:c>
      <x:c r="T17" s="1" t="str"/>
      <x:c r="U17" s="1" t="str">
        <x:v>In Progress</x:v>
      </x:c>
    </x:row>
    <x:row r="18">
      <x:c r="A18" s="1" t="str">
        <x:v>PUB-0017</x:v>
      </x:c>
      <x:c r="B18" s="5" t="n">
        <x:v>46156</x:v>
      </x:c>
      <x:c r="C18" s="5" t="n">
        <x:v>46166</x:v>
      </x:c>
      <x:c r="D18" s="5" t="n">
        <x:v>46163</x:v>
      </x:c>
      <x:c r="E18" s="1" t="str">
        <x:v>Editorial</x:v>
      </x:c>
      <x:c r="F18" s="1" t="str">
        <x:v>Workbook</x:v>
      </x:c>
      <x:c r="G18" s="1" t="str">
        <x:v>Medium</x:v>
      </x:c>
      <x:c r="H18" s="1" t="str">
        <x:v>Manual</x:v>
      </x:c>
      <x:c r="I18" s="1" t="str">
        <x:v>Manual / NA</x:v>
      </x:c>
      <x:c r="J18" s="1" t="n">
        <x:v>156</x:v>
      </x:c>
      <x:c r="K18" s="6" t="n">
        <x:v>54.9</x:v>
      </x:c>
      <x:c r="L18" s="6" t="n">
        <x:v>58.3</x:v>
      </x:c>
      <x:c r="M18" s="6" t="n">
        <x:v>3.4</x:v>
      </x:c>
      <x:c r="N18" s="6" t="n">
        <x:v>37061.41</x:v>
      </x:c>
      <x:c r="O18" s="6" t="n">
        <x:v>39324.29</x:v>
      </x:c>
      <x:c r="P18" s="6" t="n">
        <x:v>2262.88</x:v>
      </x:c>
      <x:c r="Q18" s="1" t="n">
        <x:v>0</x:v>
      </x:c>
      <x:c r="R18" s="1" t="str">
        <x:v>Yes</x:v>
      </x:c>
      <x:c r="S18" s="7" t="n">
        <x:v>90.9</x:v>
      </x:c>
      <x:c r="T18" s="1" t="str">
        <x:v>Yes</x:v>
      </x:c>
      <x:c r="U18" s="1" t="str">
        <x:v>Completed</x:v>
      </x:c>
    </x:row>
    <x:row r="19">
      <x:c r="A19" s="1" t="str">
        <x:v>PUB-0018</x:v>
      </x:c>
      <x:c r="B19" s="5" t="n">
        <x:v>45848</x:v>
      </x:c>
      <x:c r="C19" s="5" t="n">
        <x:v>45860</x:v>
      </x:c>
      <x:c r="D19" s="5" t="n">
        <x:v>45854</x:v>
      </x:c>
      <x:c r="E19" s="1" t="str">
        <x:v>Editorial</x:v>
      </x:c>
      <x:c r="F19" s="1" t="str">
        <x:v>School Textbook</x:v>
      </x:c>
      <x:c r="G19" s="1" t="str">
        <x:v>Low</x:v>
      </x:c>
      <x:c r="H19" s="1" t="str">
        <x:v>Manual</x:v>
      </x:c>
      <x:c r="I19" s="1" t="str">
        <x:v>Manual / NA</x:v>
      </x:c>
      <x:c r="J19" s="1" t="n">
        <x:v>111</x:v>
      </x:c>
      <x:c r="K19" s="6" t="n">
        <x:v>47</x:v>
      </x:c>
      <x:c r="L19" s="6" t="n">
        <x:v>50.6</x:v>
      </x:c>
      <x:c r="M19" s="6" t="n">
        <x:v>3.6</x:v>
      </x:c>
      <x:c r="N19" s="6" t="n">
        <x:v>44521.2</x:v>
      </x:c>
      <x:c r="O19" s="6" t="n">
        <x:v>47926.29</x:v>
      </x:c>
      <x:c r="P19" s="6" t="n">
        <x:v>3405.09</x:v>
      </x:c>
      <x:c r="Q19" s="1" t="n">
        <x:v>0</x:v>
      </x:c>
      <x:c r="R19" s="1" t="str">
        <x:v>Yes</x:v>
      </x:c>
      <x:c r="S19" s="7" t="n">
        <x:v>81.7</x:v>
      </x:c>
      <x:c r="T19" s="1" t="str">
        <x:v>Yes</x:v>
      </x:c>
      <x:c r="U19" s="1" t="str">
        <x:v>Completed</x:v>
      </x:c>
    </x:row>
    <x:row r="20">
      <x:c r="A20" s="1" t="str">
        <x:v>PUB-0019</x:v>
      </x:c>
      <x:c r="B20" s="5" t="n">
        <x:v>46193</x:v>
      </x:c>
      <x:c r="C20" s="5" t="n">
        <x:v>46204</x:v>
      </x:c>
      <x:c r="D20" s="5" t="n">
        <x:v>46196</x:v>
      </x:c>
      <x:c r="E20" s="1" t="str">
        <x:v>Editorial</x:v>
      </x:c>
      <x:c r="F20" s="1" t="str">
        <x:v>Workbook</x:v>
      </x:c>
      <x:c r="G20" s="1" t="str">
        <x:v>Medium</x:v>
      </x:c>
      <x:c r="H20" s="1" t="str">
        <x:v>AI-Assisted</x:v>
      </x:c>
      <x:c r="I20" s="1" t="str">
        <x:v>Structured v3</x:v>
      </x:c>
      <x:c r="J20" s="1" t="n">
        <x:v>75</x:v>
      </x:c>
      <x:c r="K20" s="6" t="n">
        <x:v>21</x:v>
      </x:c>
      <x:c r="L20" s="6" t="n">
        <x:v>38.1</x:v>
      </x:c>
      <x:c r="M20" s="6" t="n">
        <x:v>17.1</x:v>
      </x:c>
      <x:c r="N20" s="6" t="n">
        <x:v>16969.86</x:v>
      </x:c>
      <x:c r="O20" s="6" t="n">
        <x:v>30774.35</x:v>
      </x:c>
      <x:c r="P20" s="6" t="n">
        <x:v>13804.49</x:v>
      </x:c>
      <x:c r="Q20" s="1" t="n">
        <x:v>0</x:v>
      </x:c>
      <x:c r="R20" s="1" t="str">
        <x:v>Yes</x:v>
      </x:c>
      <x:c r="S20" s="7" t="n">
        <x:v>94.5</x:v>
      </x:c>
      <x:c r="T20" s="1" t="str">
        <x:v>Yes</x:v>
      </x:c>
      <x:c r="U20" s="1" t="str">
        <x:v>Completed</x:v>
      </x:c>
    </x:row>
    <x:row r="21">
      <x:c r="A21" s="1" t="str">
        <x:v>PUB-0020</x:v>
      </x:c>
      <x:c r="B21" s="5" t="n">
        <x:v>45876</x:v>
      </x:c>
      <x:c r="C21" s="5" t="n">
        <x:v>45888</x:v>
      </x:c>
      <x:c r="D21" s="5" t="n">
        <x:v>45879</x:v>
      </x:c>
      <x:c r="E21" s="1" t="str">
        <x:v>Design</x:v>
      </x:c>
      <x:c r="F21" s="1" t="str">
        <x:v>School Textbook</x:v>
      </x:c>
      <x:c r="G21" s="1" t="str">
        <x:v>Medium</x:v>
      </x:c>
      <x:c r="H21" s="1" t="str">
        <x:v>AI-Assisted</x:v>
      </x:c>
      <x:c r="I21" s="1" t="str">
        <x:v>Structured v3</x:v>
      </x:c>
      <x:c r="J21" s="1" t="n">
        <x:v>70</x:v>
      </x:c>
      <x:c r="K21" s="6" t="n">
        <x:v>18.8</x:v>
      </x:c>
      <x:c r="L21" s="6" t="n">
        <x:v>27.6</x:v>
      </x:c>
      <x:c r="M21" s="6" t="n">
        <x:v>8.8</x:v>
      </x:c>
      <x:c r="N21" s="6" t="n">
        <x:v>18833.28</x:v>
      </x:c>
      <x:c r="O21" s="6" t="n">
        <x:v>27678.2</x:v>
      </x:c>
      <x:c r="P21" s="6" t="n">
        <x:v>8844.92</x:v>
      </x:c>
      <x:c r="Q21" s="1" t="n">
        <x:v>0</x:v>
      </x:c>
      <x:c r="R21" s="1" t="str">
        <x:v>Yes</x:v>
      </x:c>
      <x:c r="S21" s="7" t="n">
        <x:v>91.7</x:v>
      </x:c>
      <x:c r="T21" s="1" t="str">
        <x:v>Yes</x:v>
      </x:c>
      <x:c r="U21" s="1" t="str">
        <x:v>Completed</x:v>
      </x:c>
    </x:row>
    <x:row r="22">
      <x:c r="A22" s="1" t="str">
        <x:v>PUB-0021</x:v>
      </x:c>
      <x:c r="B22" s="5" t="n">
        <x:v>45964</x:v>
      </x:c>
      <x:c r="C22" s="5" t="n">
        <x:v>45974</x:v>
      </x:c>
      <x:c r="D22" s="5" t="n">
        <x:v>45967</x:v>
      </x:c>
      <x:c r="E22" s="1" t="str">
        <x:v>Digital Learning</x:v>
      </x:c>
      <x:c r="F22" s="1" t="str">
        <x:v>School Textbook</x:v>
      </x:c>
      <x:c r="G22" s="1" t="str">
        <x:v>Low</x:v>
      </x:c>
      <x:c r="H22" s="1" t="str">
        <x:v>Manual</x:v>
      </x:c>
      <x:c r="I22" s="1" t="str">
        <x:v>Manual / NA</x:v>
      </x:c>
      <x:c r="J22" s="1" t="n">
        <x:v>75</x:v>
      </x:c>
      <x:c r="K22" s="6" t="n">
        <x:v>23.4</x:v>
      </x:c>
      <x:c r="L22" s="6" t="n">
        <x:v>23.6</x:v>
      </x:c>
      <x:c r="M22" s="6" t="n">
        <x:v>0.2</x:v>
      </x:c>
      <x:c r="N22" s="6" t="n">
        <x:v>18396.47</x:v>
      </x:c>
      <x:c r="O22" s="6" t="n">
        <x:v>18544.43</x:v>
      </x:c>
      <x:c r="P22" s="6" t="n">
        <x:v>147.96</x:v>
      </x:c>
      <x:c r="Q22" s="1" t="n">
        <x:v>0</x:v>
      </x:c>
      <x:c r="R22" s="1" t="str">
        <x:v>Yes</x:v>
      </x:c>
      <x:c r="S22" s="7" t="n">
        <x:v>84.2</x:v>
      </x:c>
      <x:c r="T22" s="1" t="str">
        <x:v>Yes</x:v>
      </x:c>
      <x:c r="U22" s="1" t="str">
        <x:v>Completed</x:v>
      </x:c>
    </x:row>
    <x:row r="23">
      <x:c r="A23" s="1" t="str">
        <x:v>PUB-0022</x:v>
      </x:c>
      <x:c r="B23" s="5" t="n">
        <x:v>45915</x:v>
      </x:c>
      <x:c r="C23" s="5" t="n">
        <x:v>45926</x:v>
      </x:c>
      <x:c r="D23" s="5" t="n">
        <x:v>45919</x:v>
      </x:c>
      <x:c r="E23" s="1" t="str">
        <x:v>Digital Learning</x:v>
      </x:c>
      <x:c r="F23" s="1" t="str">
        <x:v>E-book</x:v>
      </x:c>
      <x:c r="G23" s="1" t="str">
        <x:v>Low</x:v>
      </x:c>
      <x:c r="H23" s="1" t="str">
        <x:v>AI-Assisted</x:v>
      </x:c>
      <x:c r="I23" s="1" t="str">
        <x:v>Few-shot v2</x:v>
      </x:c>
      <x:c r="J23" s="1" t="n">
        <x:v>78</x:v>
      </x:c>
      <x:c r="K23" s="6" t="n">
        <x:v>14.2</x:v>
      </x:c>
      <x:c r="L23" s="6" t="n">
        <x:v>27.7</x:v>
      </x:c>
      <x:c r="M23" s="6" t="n">
        <x:v>13.5</x:v>
      </x:c>
      <x:c r="N23" s="6" t="n">
        <x:v>16186.57</x:v>
      </x:c>
      <x:c r="O23" s="6" t="n">
        <x:v>31597.02</x:v>
      </x:c>
      <x:c r="P23" s="6" t="n">
        <x:v>15410.45</x:v>
      </x:c>
      <x:c r="Q23" s="1" t="n">
        <x:v>1</x:v>
      </x:c>
      <x:c r="R23" s="1" t="str">
        <x:v>No</x:v>
      </x:c>
      <x:c r="S23" s="7" t="n">
        <x:v>83.8</x:v>
      </x:c>
      <x:c r="T23" s="1" t="str">
        <x:v>Yes</x:v>
      </x:c>
      <x:c r="U23" s="1" t="str">
        <x:v>Completed</x:v>
      </x:c>
    </x:row>
    <x:row r="24">
      <x:c r="A24" s="1" t="str">
        <x:v>PUB-0023</x:v>
      </x:c>
      <x:c r="B24" s="5" t="n">
        <x:v>45772</x:v>
      </x:c>
      <x:c r="C24" s="5" t="n">
        <x:v>45781</x:v>
      </x:c>
      <x:c r="D24" s="5" t="n">
        <x:v>45781</x:v>
      </x:c>
      <x:c r="E24" s="1" t="str">
        <x:v>Editorial</x:v>
      </x:c>
      <x:c r="F24" s="1" t="str">
        <x:v>E-book</x:v>
      </x:c>
      <x:c r="G24" s="1" t="str">
        <x:v>Low</x:v>
      </x:c>
      <x:c r="H24" s="1" t="str">
        <x:v>Manual</x:v>
      </x:c>
      <x:c r="I24" s="1" t="str">
        <x:v>Manual / NA</x:v>
      </x:c>
      <x:c r="J24" s="1" t="n">
        <x:v>147</x:v>
      </x:c>
      <x:c r="K24" s="6" t="n">
        <x:v>52.7</x:v>
      </x:c>
      <x:c r="L24" s="6" t="n">
        <x:v>53.2</x:v>
      </x:c>
      <x:c r="M24" s="6" t="n">
        <x:v>0.5</x:v>
      </x:c>
      <x:c r="N24" s="6" t="n">
        <x:v>45579.88</x:v>
      </x:c>
      <x:c r="O24" s="6" t="n">
        <x:v>45999.84</x:v>
      </x:c>
      <x:c r="P24" s="6" t="n">
        <x:v>419.96</x:v>
      </x:c>
      <x:c r="Q24" s="1" t="n">
        <x:v>1</x:v>
      </x:c>
      <x:c r="R24" s="1" t="str">
        <x:v>No</x:v>
      </x:c>
      <x:c r="S24" s="7" t="n">
        <x:v>96.8</x:v>
      </x:c>
      <x:c r="T24" s="1" t="str">
        <x:v>Yes</x:v>
      </x:c>
      <x:c r="U24" s="1" t="str">
        <x:v>Completed</x:v>
      </x:c>
    </x:row>
    <x:row r="25">
      <x:c r="A25" s="1" t="str">
        <x:v>PUB-0024</x:v>
      </x:c>
      <x:c r="B25" s="5" t="n">
        <x:v>45913</x:v>
      </x:c>
      <x:c r="C25" s="5" t="n">
        <x:v>45928</x:v>
      </x:c>
      <x:c r="D25" s="5" t="n">
        <x:v>45920</x:v>
      </x:c>
      <x:c r="E25" s="1" t="str">
        <x:v>Production</x:v>
      </x:c>
      <x:c r="F25" s="1" t="str">
        <x:v>Workbook</x:v>
      </x:c>
      <x:c r="G25" s="1" t="str">
        <x:v>Medium</x:v>
      </x:c>
      <x:c r="H25" s="1" t="str">
        <x:v>AI-Assisted</x:v>
      </x:c>
      <x:c r="I25" s="1" t="str">
        <x:v>Visual Brief</x:v>
      </x:c>
      <x:c r="J25" s="1" t="n">
        <x:v>166</x:v>
      </x:c>
      <x:c r="K25" s="6" t="n">
        <x:v>50.2</x:v>
      </x:c>
      <x:c r="L25" s="6" t="n">
        <x:v>93.6</x:v>
      </x:c>
      <x:c r="M25" s="6" t="n">
        <x:v>43.4</x:v>
      </x:c>
      <x:c r="N25" s="6" t="n">
        <x:v>36708.79</x:v>
      </x:c>
      <x:c r="O25" s="6" t="n">
        <x:v>68422.34</x:v>
      </x:c>
      <x:c r="P25" s="6" t="n">
        <x:v>31713.55</x:v>
      </x:c>
      <x:c r="Q25" s="1" t="n">
        <x:v>0</x:v>
      </x:c>
      <x:c r="R25" s="1" t="str">
        <x:v>Yes</x:v>
      </x:c>
      <x:c r="S25" s="7" t="n">
        <x:v>83</x:v>
      </x:c>
      <x:c r="T25" s="1" t="str">
        <x:v>Yes</x:v>
      </x:c>
      <x:c r="U25" s="1" t="str">
        <x:v>Completed</x:v>
      </x:c>
    </x:row>
    <x:row r="26">
      <x:c r="A26" s="1" t="str">
        <x:v>PUB-0025</x:v>
      </x:c>
      <x:c r="B26" s="5" t="n">
        <x:v>45998</x:v>
      </x:c>
      <x:c r="C26" s="5" t="n">
        <x:v>46007</x:v>
      </x:c>
      <x:c r="D26" s="5" t="n">
        <x:v>46000</x:v>
      </x:c>
      <x:c r="E26" s="1" t="str">
        <x:v>Production</x:v>
      </x:c>
      <x:c r="F26" s="1" t="str">
        <x:v>Workbook</x:v>
      </x:c>
      <x:c r="G26" s="1" t="str">
        <x:v>Low</x:v>
      </x:c>
      <x:c r="H26" s="1" t="str">
        <x:v>AI-Assisted</x:v>
      </x:c>
      <x:c r="I26" s="1" t="str">
        <x:v>Editorial QA</x:v>
      </x:c>
      <x:c r="J26" s="1" t="n">
        <x:v>71</x:v>
      </x:c>
      <x:c r="K26" s="6" t="n">
        <x:v>15.7</x:v>
      </x:c>
      <x:c r="L26" s="6" t="n">
        <x:v>31</x:v>
      </x:c>
      <x:c r="M26" s="6" t="n">
        <x:v>15.3</x:v>
      </x:c>
      <x:c r="N26" s="6" t="n">
        <x:v>17051.51</x:v>
      </x:c>
      <x:c r="O26" s="6" t="n">
        <x:v>33716.6</x:v>
      </x:c>
      <x:c r="P26" s="6" t="n">
        <x:v>16665.09</x:v>
      </x:c>
      <x:c r="Q26" s="1" t="n">
        <x:v>0</x:v>
      </x:c>
      <x:c r="R26" s="1" t="str">
        <x:v>Yes</x:v>
      </x:c>
      <x:c r="S26" s="7" t="n">
        <x:v>90.7</x:v>
      </x:c>
      <x:c r="T26" s="1" t="str">
        <x:v>Yes</x:v>
      </x:c>
      <x:c r="U26" s="1" t="str">
        <x:v>Completed</x:v>
      </x:c>
    </x:row>
    <x:row r="27">
      <x:c r="A27" s="1" t="str">
        <x:v>PUB-0026</x:v>
      </x:c>
      <x:c r="B27" s="5" t="n">
        <x:v>45891</x:v>
      </x:c>
      <x:c r="C27" s="5" t="n">
        <x:v>45899</x:v>
      </x:c>
      <x:c r="D27" s="5" t="str"/>
      <x:c r="E27" s="1" t="str">
        <x:v>Editorial</x:v>
      </x:c>
      <x:c r="F27" s="1" t="str">
        <x:v>Illustration</x:v>
      </x:c>
      <x:c r="G27" s="1" t="str">
        <x:v>High</x:v>
      </x:c>
      <x:c r="H27" s="1" t="str">
        <x:v>AI-Assisted</x:v>
      </x:c>
      <x:c r="I27" s="1" t="str">
        <x:v>Structured v3</x:v>
      </x:c>
      <x:c r="J27" s="1" t="n">
        <x:v>12</x:v>
      </x:c>
      <x:c r="K27" s="6" t="n">
        <x:v>4.2</x:v>
      </x:c>
      <x:c r="L27" s="6" t="n">
        <x:v>6.7</x:v>
      </x:c>
      <x:c r="M27" s="6" t="n">
        <x:v>2.5</x:v>
      </x:c>
      <x:c r="N27" s="6" t="n">
        <x:v>3569.32</x:v>
      </x:c>
      <x:c r="O27" s="6" t="n">
        <x:v>5672.76</x:v>
      </x:c>
      <x:c r="P27" s="6" t="n">
        <x:v>2103.44</x:v>
      </x:c>
      <x:c r="Q27" s="1" t="n">
        <x:v>0</x:v>
      </x:c>
      <x:c r="R27" s="1" t="str"/>
      <x:c r="S27" s="7" t="n">
        <x:v>99</x:v>
      </x:c>
      <x:c r="T27" s="1" t="str"/>
      <x:c r="U27" s="1" t="str">
        <x:v>In Review</x:v>
      </x:c>
    </x:row>
    <x:row r="28">
      <x:c r="A28" s="1" t="str">
        <x:v>PUB-0027</x:v>
      </x:c>
      <x:c r="B28" s="5" t="n">
        <x:v>45776</x:v>
      </x:c>
      <x:c r="C28" s="5" t="n">
        <x:v>45784</x:v>
      </x:c>
      <x:c r="D28" s="5" t="n">
        <x:v>45777</x:v>
      </x:c>
      <x:c r="E28" s="1" t="str">
        <x:v>Digital Learning</x:v>
      </x:c>
      <x:c r="F28" s="1" t="str">
        <x:v>Workbook</x:v>
      </x:c>
      <x:c r="G28" s="1" t="str">
        <x:v>Low</x:v>
      </x:c>
      <x:c r="H28" s="1" t="str">
        <x:v>AI-Assisted</x:v>
      </x:c>
      <x:c r="I28" s="1" t="str">
        <x:v>Visual Brief</x:v>
      </x:c>
      <x:c r="J28" s="1" t="n">
        <x:v>17</x:v>
      </x:c>
      <x:c r="K28" s="6" t="n">
        <x:v>4.2</x:v>
      </x:c>
      <x:c r="L28" s="6" t="n">
        <x:v>6.4</x:v>
      </x:c>
      <x:c r="M28" s="6" t="n">
        <x:v>2.2</x:v>
      </x:c>
      <x:c r="N28" s="6" t="n">
        <x:v>3388.72</x:v>
      </x:c>
      <x:c r="O28" s="6" t="n">
        <x:v>5124.33</x:v>
      </x:c>
      <x:c r="P28" s="6" t="n">
        <x:v>1735.61</x:v>
      </x:c>
      <x:c r="Q28" s="1" t="n">
        <x:v>0</x:v>
      </x:c>
      <x:c r="R28" s="1" t="str">
        <x:v>Yes</x:v>
      </x:c>
      <x:c r="S28" s="7" t="n">
        <x:v>83.6</x:v>
      </x:c>
      <x:c r="T28" s="1" t="str">
        <x:v>Yes</x:v>
      </x:c>
      <x:c r="U28" s="1" t="str">
        <x:v>Completed</x:v>
      </x:c>
    </x:row>
    <x:row r="29">
      <x:c r="A29" s="1" t="str">
        <x:v>PUB-0028</x:v>
      </x:c>
      <x:c r="B29" s="5" t="n">
        <x:v>46104</x:v>
      </x:c>
      <x:c r="C29" s="5" t="n">
        <x:v>46121</x:v>
      </x:c>
      <x:c r="D29" s="5" t="n">
        <x:v>46110</x:v>
      </x:c>
      <x:c r="E29" s="1" t="str">
        <x:v>Editorial</x:v>
      </x:c>
      <x:c r="F29" s="1" t="str">
        <x:v>E-book</x:v>
      </x:c>
      <x:c r="G29" s="1" t="str">
        <x:v>Medium</x:v>
      </x:c>
      <x:c r="H29" s="1" t="str">
        <x:v>AI-Assisted</x:v>
      </x:c>
      <x:c r="I29" s="1" t="str">
        <x:v>Editorial QA</x:v>
      </x:c>
      <x:c r="J29" s="1" t="n">
        <x:v>197</x:v>
      </x:c>
      <x:c r="K29" s="6" t="n">
        <x:v>46.4</x:v>
      </x:c>
      <x:c r="L29" s="6" t="n">
        <x:v>79.5</x:v>
      </x:c>
      <x:c r="M29" s="6" t="n">
        <x:v>33.1</x:v>
      </x:c>
      <x:c r="N29" s="6" t="n">
        <x:v>52173.89</x:v>
      </x:c>
      <x:c r="O29" s="6" t="n">
        <x:v>89347.22</x:v>
      </x:c>
      <x:c r="P29" s="6" t="n">
        <x:v>37173.33</x:v>
      </x:c>
      <x:c r="Q29" s="1" t="n">
        <x:v>0</x:v>
      </x:c>
      <x:c r="R29" s="1" t="str">
        <x:v>Yes</x:v>
      </x:c>
      <x:c r="S29" s="7" t="n">
        <x:v>88.6</x:v>
      </x:c>
      <x:c r="T29" s="1" t="str">
        <x:v>Yes</x:v>
      </x:c>
      <x:c r="U29" s="1" t="str">
        <x:v>Completed</x:v>
      </x:c>
    </x:row>
    <x:row r="30">
      <x:c r="A30" s="1" t="str">
        <x:v>PUB-0029</x:v>
      </x:c>
      <x:c r="B30" s="5" t="n">
        <x:v>45785</x:v>
      </x:c>
      <x:c r="C30" s="5" t="n">
        <x:v>45798</x:v>
      </x:c>
      <x:c r="D30" s="5" t="n">
        <x:v>45789</x:v>
      </x:c>
      <x:c r="E30" s="1" t="str">
        <x:v>Production</x:v>
      </x:c>
      <x:c r="F30" s="1" t="str">
        <x:v>Workbook</x:v>
      </x:c>
      <x:c r="G30" s="1" t="str">
        <x:v>Medium</x:v>
      </x:c>
      <x:c r="H30" s="1" t="str">
        <x:v>AI-Assisted</x:v>
      </x:c>
      <x:c r="I30" s="1" t="str">
        <x:v>Few-shot v2</x:v>
      </x:c>
      <x:c r="J30" s="1" t="n">
        <x:v>111</x:v>
      </x:c>
      <x:c r="K30" s="6" t="n">
        <x:v>28.1</x:v>
      </x:c>
      <x:c r="L30" s="6" t="n">
        <x:v>53.5</x:v>
      </x:c>
      <x:c r="M30" s="6" t="n">
        <x:v>25.4</x:v>
      </x:c>
      <x:c r="N30" s="6" t="n">
        <x:v>27607.26</x:v>
      </x:c>
      <x:c r="O30" s="6" t="n">
        <x:v>52560.64</x:v>
      </x:c>
      <x:c r="P30" s="6" t="n">
        <x:v>24953.38</x:v>
      </x:c>
      <x:c r="Q30" s="1" t="n">
        <x:v>0</x:v>
      </x:c>
      <x:c r="R30" s="1" t="str">
        <x:v>Yes</x:v>
      </x:c>
      <x:c r="S30" s="7" t="n">
        <x:v>89</x:v>
      </x:c>
      <x:c r="T30" s="1" t="str">
        <x:v>Yes</x:v>
      </x:c>
      <x:c r="U30" s="1" t="str">
        <x:v>Completed</x:v>
      </x:c>
    </x:row>
    <x:row r="31">
      <x:c r="A31" s="1" t="str">
        <x:v>PUB-0030</x:v>
      </x:c>
      <x:c r="B31" s="5" t="n">
        <x:v>45658</x:v>
      </x:c>
      <x:c r="C31" s="5" t="n">
        <x:v>45676</x:v>
      </x:c>
      <x:c r="D31" s="5" t="n">
        <x:v>45668</x:v>
      </x:c>
      <x:c r="E31" s="1" t="str">
        <x:v>Editorial</x:v>
      </x:c>
      <x:c r="F31" s="1" t="str">
        <x:v>School Textbook</x:v>
      </x:c>
      <x:c r="G31" s="1" t="str">
        <x:v>Medium</x:v>
      </x:c>
      <x:c r="H31" s="1" t="str">
        <x:v>Manual</x:v>
      </x:c>
      <x:c r="I31" s="1" t="str">
        <x:v>Manual / NA</x:v>
      </x:c>
      <x:c r="J31" s="1" t="n">
        <x:v>163</x:v>
      </x:c>
      <x:c r="K31" s="6" t="n">
        <x:v>73</x:v>
      </x:c>
      <x:c r="L31" s="6" t="n">
        <x:v>75.4</x:v>
      </x:c>
      <x:c r="M31" s="6" t="n">
        <x:v>2.4</x:v>
      </x:c>
      <x:c r="N31" s="6" t="n">
        <x:v>55250.1</x:v>
      </x:c>
      <x:c r="O31" s="6" t="n">
        <x:v>57032.09</x:v>
      </x:c>
      <x:c r="P31" s="6" t="n">
        <x:v>1781.99</x:v>
      </x:c>
      <x:c r="Q31" s="1" t="n">
        <x:v>0</x:v>
      </x:c>
      <x:c r="R31" s="1" t="str">
        <x:v>Yes</x:v>
      </x:c>
      <x:c r="S31" s="7" t="n">
        <x:v>81.6</x:v>
      </x:c>
      <x:c r="T31" s="1" t="str">
        <x:v>Yes</x:v>
      </x:c>
      <x:c r="U31" s="1" t="str">
        <x:v>Completed</x:v>
      </x:c>
    </x:row>
    <x:row r="32">
      <x:c r="A32" s="1" t="str">
        <x:v>PUB-0031</x:v>
      </x:c>
      <x:c r="B32" s="5" t="n">
        <x:v>45744</x:v>
      </x:c>
      <x:c r="C32" s="5" t="n">
        <x:v>45748</x:v>
      </x:c>
      <x:c r="D32" s="5" t="n">
        <x:v>45745</x:v>
      </x:c>
      <x:c r="E32" s="1" t="str">
        <x:v>Editorial</x:v>
      </x:c>
      <x:c r="F32" s="1" t="str">
        <x:v>Illustration</x:v>
      </x:c>
      <x:c r="G32" s="1" t="str">
        <x:v>Medium</x:v>
      </x:c>
      <x:c r="H32" s="1" t="str">
        <x:v>AI-Assisted</x:v>
      </x:c>
      <x:c r="I32" s="1" t="str">
        <x:v>Structured v3</x:v>
      </x:c>
      <x:c r="J32" s="1" t="n">
        <x:v>34</x:v>
      </x:c>
      <x:c r="K32" s="6" t="n">
        <x:v>7.3</x:v>
      </x:c>
      <x:c r="L32" s="6" t="n">
        <x:v>13.9</x:v>
      </x:c>
      <x:c r="M32" s="6" t="n">
        <x:v>6.6</x:v>
      </x:c>
      <x:c r="N32" s="6" t="n">
        <x:v>4834.15</x:v>
      </x:c>
      <x:c r="O32" s="6" t="n">
        <x:v>9218.21</x:v>
      </x:c>
      <x:c r="P32" s="6" t="n">
        <x:v>4384.06</x:v>
      </x:c>
      <x:c r="Q32" s="1" t="n">
        <x:v>0</x:v>
      </x:c>
      <x:c r="R32" s="1" t="str">
        <x:v>Yes</x:v>
      </x:c>
      <x:c r="S32" s="7" t="n">
        <x:v>78.4</x:v>
      </x:c>
      <x:c r="T32" s="1" t="str">
        <x:v>Yes</x:v>
      </x:c>
      <x:c r="U32" s="1" t="str">
        <x:v>Completed</x:v>
      </x:c>
    </x:row>
    <x:row r="33">
      <x:c r="A33" s="1" t="str">
        <x:v>PUB-0032</x:v>
      </x:c>
      <x:c r="B33" s="5" t="n">
        <x:v>45857</x:v>
      </x:c>
      <x:c r="C33" s="5" t="n">
        <x:v>45871</x:v>
      </x:c>
      <x:c r="D33" s="5" t="n">
        <x:v>45864</x:v>
      </x:c>
      <x:c r="E33" s="1" t="str">
        <x:v>Production</x:v>
      </x:c>
      <x:c r="F33" s="1" t="str">
        <x:v>Workbook</x:v>
      </x:c>
      <x:c r="G33" s="1" t="str">
        <x:v>Low</x:v>
      </x:c>
      <x:c r="H33" s="1" t="str">
        <x:v>AI-Assisted</x:v>
      </x:c>
      <x:c r="I33" s="1" t="str">
        <x:v>Structured v3</x:v>
      </x:c>
      <x:c r="J33" s="1" t="n">
        <x:v>184</x:v>
      </x:c>
      <x:c r="K33" s="6" t="n">
        <x:v>52.7</x:v>
      </x:c>
      <x:c r="L33" s="6" t="n">
        <x:v>79.2</x:v>
      </x:c>
      <x:c r="M33" s="6" t="n">
        <x:v>26.5</x:v>
      </x:c>
      <x:c r="N33" s="6" t="n">
        <x:v>37063.58</x:v>
      </x:c>
      <x:c r="O33" s="6" t="n">
        <x:v>55731.81</x:v>
      </x:c>
      <x:c r="P33" s="6" t="n">
        <x:v>18668.23</x:v>
      </x:c>
      <x:c r="Q33" s="1" t="n">
        <x:v>0</x:v>
      </x:c>
      <x:c r="R33" s="1" t="str">
        <x:v>Yes</x:v>
      </x:c>
      <x:c r="S33" s="7" t="n">
        <x:v>90.7</x:v>
      </x:c>
      <x:c r="T33" s="1" t="str">
        <x:v>Yes</x:v>
      </x:c>
      <x:c r="U33" s="1" t="str">
        <x:v>Completed</x:v>
      </x:c>
    </x:row>
    <x:row r="34">
      <x:c r="A34" s="1" t="str">
        <x:v>PUB-0033</x:v>
      </x:c>
      <x:c r="B34" s="5" t="n">
        <x:v>45709</x:v>
      </x:c>
      <x:c r="C34" s="5" t="n">
        <x:v>45725</x:v>
      </x:c>
      <x:c r="D34" s="5" t="n">
        <x:v>45715</x:v>
      </x:c>
      <x:c r="E34" s="1" t="str">
        <x:v>Design</x:v>
      </x:c>
      <x:c r="F34" s="1" t="str">
        <x:v>E-book</x:v>
      </x:c>
      <x:c r="G34" s="1" t="str">
        <x:v>Medium</x:v>
      </x:c>
      <x:c r="H34" s="1" t="str">
        <x:v>AI-Assisted</x:v>
      </x:c>
      <x:c r="I34" s="1" t="str">
        <x:v>Structured v3</x:v>
      </x:c>
      <x:c r="J34" s="1" t="n">
        <x:v>126</x:v>
      </x:c>
      <x:c r="K34" s="6" t="n">
        <x:v>45.3</x:v>
      </x:c>
      <x:c r="L34" s="6" t="n">
        <x:v>72.7</x:v>
      </x:c>
      <x:c r="M34" s="6" t="n">
        <x:v>27.4</x:v>
      </x:c>
      <x:c r="N34" s="6" t="n">
        <x:v>50963.4</x:v>
      </x:c>
      <x:c r="O34" s="6" t="n">
        <x:v>81838.87</x:v>
      </x:c>
      <x:c r="P34" s="6" t="n">
        <x:v>30875.47</x:v>
      </x:c>
      <x:c r="Q34" s="1" t="n">
        <x:v>0</x:v>
      </x:c>
      <x:c r="R34" s="1" t="str">
        <x:v>Yes</x:v>
      </x:c>
      <x:c r="S34" s="7" t="n">
        <x:v>82.3</x:v>
      </x:c>
      <x:c r="T34" s="1" t="str">
        <x:v>Yes</x:v>
      </x:c>
      <x:c r="U34" s="1" t="str">
        <x:v>Completed</x:v>
      </x:c>
    </x:row>
    <x:row r="35">
      <x:c r="A35" s="1" t="str">
        <x:v>PUB-0034</x:v>
      </x:c>
      <x:c r="B35" s="5" t="n">
        <x:v>46114</x:v>
      </x:c>
      <x:c r="C35" s="5" t="n">
        <x:v>46124</x:v>
      </x:c>
      <x:c r="D35" s="5" t="n">
        <x:v>46118</x:v>
      </x:c>
      <x:c r="E35" s="1" t="str">
        <x:v>Digital Learning</x:v>
      </x:c>
      <x:c r="F35" s="1" t="str">
        <x:v>Illustration</x:v>
      </x:c>
      <x:c r="G35" s="1" t="str">
        <x:v>High</x:v>
      </x:c>
      <x:c r="H35" s="1" t="str">
        <x:v>AI-Assisted</x:v>
      </x:c>
      <x:c r="I35" s="1" t="str">
        <x:v>Structured v3</x:v>
      </x:c>
      <x:c r="J35" s="1" t="n">
        <x:v>35</x:v>
      </x:c>
      <x:c r="K35" s="6" t="n">
        <x:v>13</x:v>
      </x:c>
      <x:c r="L35" s="6" t="n">
        <x:v>19.5</x:v>
      </x:c>
      <x:c r="M35" s="6" t="n">
        <x:v>6.5</x:v>
      </x:c>
      <x:c r="N35" s="6" t="n">
        <x:v>11599.88</x:v>
      </x:c>
      <x:c r="O35" s="6" t="n">
        <x:v>17355.73</x:v>
      </x:c>
      <x:c r="P35" s="6" t="n">
        <x:v>5755.85</x:v>
      </x:c>
      <x:c r="Q35" s="1" t="n">
        <x:v>1</x:v>
      </x:c>
      <x:c r="R35" s="1" t="str">
        <x:v>No</x:v>
      </x:c>
      <x:c r="S35" s="7" t="n">
        <x:v>81.7</x:v>
      </x:c>
      <x:c r="T35" s="1" t="str">
        <x:v>Yes</x:v>
      </x:c>
      <x:c r="U35" s="1" t="str">
        <x:v>Completed</x:v>
      </x:c>
    </x:row>
    <x:row r="36">
      <x:c r="A36" s="1" t="str">
        <x:v>PUB-0035</x:v>
      </x:c>
      <x:c r="B36" s="5" t="n">
        <x:v>46001</x:v>
      </x:c>
      <x:c r="C36" s="5" t="n">
        <x:v>46011</x:v>
      </x:c>
      <x:c r="D36" s="5" t="str"/>
      <x:c r="E36" s="1" t="str">
        <x:v>Editorial</x:v>
      </x:c>
      <x:c r="F36" s="1" t="str">
        <x:v>Assessment</x:v>
      </x:c>
      <x:c r="G36" s="1" t="str">
        <x:v>Medium</x:v>
      </x:c>
      <x:c r="H36" s="1" t="str">
        <x:v>AI-Assisted</x:v>
      </x:c>
      <x:c r="I36" s="1" t="str">
        <x:v>Structured v3</x:v>
      </x:c>
      <x:c r="J36" s="1" t="n">
        <x:v>23</x:v>
      </x:c>
      <x:c r="K36" s="6" t="n">
        <x:v>5</x:v>
      </x:c>
      <x:c r="L36" s="6" t="n">
        <x:v>8.6</x:v>
      </x:c>
      <x:c r="M36" s="6" t="n">
        <x:v>3.6</x:v>
      </x:c>
      <x:c r="N36" s="6" t="n">
        <x:v>4606.53</x:v>
      </x:c>
      <x:c r="O36" s="6" t="n">
        <x:v>7927.83</x:v>
      </x:c>
      <x:c r="P36" s="6" t="n">
        <x:v>3321.3</x:v>
      </x:c>
      <x:c r="Q36" s="1" t="n">
        <x:v>0</x:v>
      </x:c>
      <x:c r="R36" s="1" t="str"/>
      <x:c r="S36" s="7" t="n">
        <x:v>90.5</x:v>
      </x:c>
      <x:c r="T36" s="1" t="str"/>
      <x:c r="U36" s="1" t="str">
        <x:v>In Review</x:v>
      </x:c>
    </x:row>
    <x:row r="37">
      <x:c r="A37" s="1" t="str">
        <x:v>PUB-0036</x:v>
      </x:c>
      <x:c r="B37" s="5" t="n">
        <x:v>45678</x:v>
      </x:c>
      <x:c r="C37" s="5" t="n">
        <x:v>45688</x:v>
      </x:c>
      <x:c r="D37" s="5" t="n">
        <x:v>45680</x:v>
      </x:c>
      <x:c r="E37" s="1" t="str">
        <x:v>Digital Learning</x:v>
      </x:c>
      <x:c r="F37" s="1" t="str">
        <x:v>Illustration</x:v>
      </x:c>
      <x:c r="G37" s="1" t="str">
        <x:v>Medium</x:v>
      </x:c>
      <x:c r="H37" s="1" t="str">
        <x:v>AI-Assisted</x:v>
      </x:c>
      <x:c r="I37" s="1" t="str">
        <x:v>Structured v3</x:v>
      </x:c>
      <x:c r="J37" s="1" t="n">
        <x:v>49</x:v>
      </x:c>
      <x:c r="K37" s="6" t="n">
        <x:v>15.2</x:v>
      </x:c>
      <x:c r="L37" s="6" t="n">
        <x:v>21.8</x:v>
      </x:c>
      <x:c r="M37" s="6" t="n">
        <x:v>6.6</x:v>
      </x:c>
      <x:c r="N37" s="6" t="n">
        <x:v>16231.54</x:v>
      </x:c>
      <x:c r="O37" s="6" t="n">
        <x:v>23326.49</x:v>
      </x:c>
      <x:c r="P37" s="6" t="n">
        <x:v>7094.95</x:v>
      </x:c>
      <x:c r="Q37" s="1" t="n">
        <x:v>0</x:v>
      </x:c>
      <x:c r="R37" s="1" t="str">
        <x:v>Yes</x:v>
      </x:c>
      <x:c r="S37" s="7" t="n">
        <x:v>94.5</x:v>
      </x:c>
      <x:c r="T37" s="1" t="str">
        <x:v>Yes</x:v>
      </x:c>
      <x:c r="U37" s="1" t="str">
        <x:v>Completed</x:v>
      </x:c>
    </x:row>
    <x:row r="38">
      <x:c r="A38" s="1" t="str">
        <x:v>PUB-0037</x:v>
      </x:c>
      <x:c r="B38" s="5" t="n">
        <x:v>45883</x:v>
      </x:c>
      <x:c r="C38" s="5" t="n">
        <x:v>45900</x:v>
      </x:c>
      <x:c r="D38" s="5" t="n">
        <x:v>45895</x:v>
      </x:c>
      <x:c r="E38" s="1" t="str">
        <x:v>Design</x:v>
      </x:c>
      <x:c r="F38" s="1" t="str">
        <x:v>Workbook</x:v>
      </x:c>
      <x:c r="G38" s="1" t="str">
        <x:v>Medium</x:v>
      </x:c>
      <x:c r="H38" s="1" t="str">
        <x:v>AI-Assisted</x:v>
      </x:c>
      <x:c r="I38" s="1" t="str">
        <x:v>Few-shot v2</x:v>
      </x:c>
      <x:c r="J38" s="1" t="n">
        <x:v>179</x:v>
      </x:c>
      <x:c r="K38" s="6" t="n">
        <x:v>41.8</x:v>
      </x:c>
      <x:c r="L38" s="6" t="n">
        <x:v>80.4</x:v>
      </x:c>
      <x:c r="M38" s="6" t="n">
        <x:v>38.6</x:v>
      </x:c>
      <x:c r="N38" s="6" t="n">
        <x:v>36938.45</x:v>
      </x:c>
      <x:c r="O38" s="6" t="n">
        <x:v>71015.5</x:v>
      </x:c>
      <x:c r="P38" s="6" t="n">
        <x:v>34077.05</x:v>
      </x:c>
      <x:c r="Q38" s="1" t="n">
        <x:v>2</x:v>
      </x:c>
      <x:c r="R38" s="1" t="str">
        <x:v>No</x:v>
      </x:c>
      <x:c r="S38" s="7" t="n">
        <x:v>91.2</x:v>
      </x:c>
      <x:c r="T38" s="1" t="str">
        <x:v>Yes</x:v>
      </x:c>
      <x:c r="U38" s="1" t="str">
        <x:v>Completed</x:v>
      </x:c>
    </x:row>
    <x:row r="39">
      <x:c r="A39" s="1" t="str">
        <x:v>PUB-0038</x:v>
      </x:c>
      <x:c r="B39" s="5" t="n">
        <x:v>46096</x:v>
      </x:c>
      <x:c r="C39" s="5" t="n">
        <x:v>46105</x:v>
      </x:c>
      <x:c r="D39" s="5" t="n">
        <x:v>46098</x:v>
      </x:c>
      <x:c r="E39" s="1" t="str">
        <x:v>Editorial</x:v>
      </x:c>
      <x:c r="F39" s="1" t="str">
        <x:v>Workbook</x:v>
      </x:c>
      <x:c r="G39" s="1" t="str">
        <x:v>Medium</x:v>
      </x:c>
      <x:c r="H39" s="1" t="str">
        <x:v>AI-Assisted</x:v>
      </x:c>
      <x:c r="I39" s="1" t="str">
        <x:v>Few-shot v2</x:v>
      </x:c>
      <x:c r="J39" s="1" t="n">
        <x:v>62</x:v>
      </x:c>
      <x:c r="K39" s="6" t="n">
        <x:v>18.6</x:v>
      </x:c>
      <x:c r="L39" s="6" t="n">
        <x:v>26.9</x:v>
      </x:c>
      <x:c r="M39" s="6" t="n">
        <x:v>8.3</x:v>
      </x:c>
      <x:c r="N39" s="6" t="n">
        <x:v>14677.79</x:v>
      </x:c>
      <x:c r="O39" s="6" t="n">
        <x:v>21246.1</x:v>
      </x:c>
      <x:c r="P39" s="6" t="n">
        <x:v>6568.31</x:v>
      </x:c>
      <x:c r="Q39" s="1" t="n">
        <x:v>0</x:v>
      </x:c>
      <x:c r="R39" s="1" t="str">
        <x:v>Yes</x:v>
      </x:c>
      <x:c r="S39" s="7" t="n">
        <x:v>89.9</x:v>
      </x:c>
      <x:c r="T39" s="1" t="str">
        <x:v>Yes</x:v>
      </x:c>
      <x:c r="U39" s="1" t="str">
        <x:v>Completed</x:v>
      </x:c>
    </x:row>
    <x:row r="40">
      <x:c r="A40" s="1" t="str">
        <x:v>PUB-0039</x:v>
      </x:c>
      <x:c r="B40" s="5" t="n">
        <x:v>46139</x:v>
      </x:c>
      <x:c r="C40" s="5" t="n">
        <x:v>46144</x:v>
      </x:c>
      <x:c r="D40" s="5" t="n">
        <x:v>46142</x:v>
      </x:c>
      <x:c r="E40" s="1" t="str">
        <x:v>Editorial</x:v>
      </x:c>
      <x:c r="F40" s="1" t="str">
        <x:v>Assessment</x:v>
      </x:c>
      <x:c r="G40" s="1" t="str">
        <x:v>Low</x:v>
      </x:c>
      <x:c r="H40" s="1" t="str">
        <x:v>Manual</x:v>
      </x:c>
      <x:c r="I40" s="1" t="str">
        <x:v>Manual / NA</x:v>
      </x:c>
      <x:c r="J40" s="1" t="n">
        <x:v>48</x:v>
      </x:c>
      <x:c r="K40" s="6" t="n">
        <x:v>15.8</x:v>
      </x:c>
      <x:c r="L40" s="6" t="n">
        <x:v>14.8</x:v>
      </x:c>
      <x:c r="M40" s="6" t="n">
        <x:v>0</x:v>
      </x:c>
      <x:c r="N40" s="6" t="n">
        <x:v>10588.04</x:v>
      </x:c>
      <x:c r="O40" s="6" t="n">
        <x:v>9893.64</x:v>
      </x:c>
      <x:c r="P40" s="6" t="n">
        <x:v>0</x:v>
      </x:c>
      <x:c r="Q40" s="1" t="n">
        <x:v>1</x:v>
      </x:c>
      <x:c r="R40" s="1" t="str">
        <x:v>No</x:v>
      </x:c>
      <x:c r="S40" s="7" t="n">
        <x:v>87.5</x:v>
      </x:c>
      <x:c r="T40" s="1" t="str">
        <x:v>Yes</x:v>
      </x:c>
      <x:c r="U40" s="1" t="str">
        <x:v>Completed</x:v>
      </x:c>
    </x:row>
    <x:row r="41">
      <x:c r="A41" s="1" t="str">
        <x:v>PUB-0040</x:v>
      </x:c>
      <x:c r="B41" s="5" t="n">
        <x:v>45775</x:v>
      </x:c>
      <x:c r="C41" s="5" t="n">
        <x:v>45785</x:v>
      </x:c>
      <x:c r="D41" s="5" t="str"/>
      <x:c r="E41" s="1" t="str">
        <x:v>Design</x:v>
      </x:c>
      <x:c r="F41" s="1" t="str">
        <x:v>School Textbook</x:v>
      </x:c>
      <x:c r="G41" s="1" t="str">
        <x:v>Medium</x:v>
      </x:c>
      <x:c r="H41" s="1" t="str">
        <x:v>AI-Assisted</x:v>
      </x:c>
      <x:c r="I41" s="1" t="str">
        <x:v>Editorial QA</x:v>
      </x:c>
      <x:c r="J41" s="1" t="n">
        <x:v>50</x:v>
      </x:c>
      <x:c r="K41" s="6" t="n">
        <x:v>18.7</x:v>
      </x:c>
      <x:c r="L41" s="6" t="n">
        <x:v>28.6</x:v>
      </x:c>
      <x:c r="M41" s="6" t="n">
        <x:v>9.9</x:v>
      </x:c>
      <x:c r="N41" s="6" t="n">
        <x:v>19427.35</x:v>
      </x:c>
      <x:c r="O41" s="6" t="n">
        <x:v>29713.55</x:v>
      </x:c>
      <x:c r="P41" s="6" t="n">
        <x:v>10286.2</x:v>
      </x:c>
      <x:c r="Q41" s="1" t="n">
        <x:v>1</x:v>
      </x:c>
      <x:c r="R41" s="1" t="str"/>
      <x:c r="S41" s="7" t="n">
        <x:v>80.9</x:v>
      </x:c>
      <x:c r="T41" s="1" t="str"/>
      <x:c r="U41" s="1" t="str">
        <x:v>In Review</x:v>
      </x:c>
    </x:row>
    <x:row r="42">
      <x:c r="A42" s="1" t="str">
        <x:v>PUB-0041</x:v>
      </x:c>
      <x:c r="B42" s="5" t="n">
        <x:v>46042</x:v>
      </x:c>
      <x:c r="C42" s="5" t="n">
        <x:v>46049</x:v>
      </x:c>
      <x:c r="D42" s="5" t="n">
        <x:v>46052</x:v>
      </x:c>
      <x:c r="E42" s="1" t="str">
        <x:v>Design</x:v>
      </x:c>
      <x:c r="F42" s="1" t="str">
        <x:v>Illustration</x:v>
      </x:c>
      <x:c r="G42" s="1" t="str">
        <x:v>Low</x:v>
      </x:c>
      <x:c r="H42" s="1" t="str">
        <x:v>AI-Assisted</x:v>
      </x:c>
      <x:c r="I42" s="1" t="str">
        <x:v>Editorial QA</x:v>
      </x:c>
      <x:c r="J42" s="1" t="n">
        <x:v>35</x:v>
      </x:c>
      <x:c r="K42" s="6" t="n">
        <x:v>10.4</x:v>
      </x:c>
      <x:c r="L42" s="6" t="n">
        <x:v>15.2</x:v>
      </x:c>
      <x:c r="M42" s="6" t="n">
        <x:v>4.8</x:v>
      </x:c>
      <x:c r="N42" s="6" t="n">
        <x:v>9882.14</x:v>
      </x:c>
      <x:c r="O42" s="6" t="n">
        <x:v>14452.1</x:v>
      </x:c>
      <x:c r="P42" s="6" t="n">
        <x:v>4569.96</x:v>
      </x:c>
      <x:c r="Q42" s="1" t="n">
        <x:v>3</x:v>
      </x:c>
      <x:c r="R42" s="1" t="str">
        <x:v>No</x:v>
      </x:c>
      <x:c r="S42" s="7" t="n">
        <x:v>85.2</x:v>
      </x:c>
      <x:c r="T42" s="1" t="str">
        <x:v>No</x:v>
      </x:c>
      <x:c r="U42" s="1" t="str">
        <x:v>Completed</x:v>
      </x:c>
    </x:row>
    <x:row r="43">
      <x:c r="A43" s="1" t="str">
        <x:v>PUB-0042</x:v>
      </x:c>
      <x:c r="B43" s="5" t="n">
        <x:v>46176</x:v>
      </x:c>
      <x:c r="C43" s="5" t="n">
        <x:v>46193</x:v>
      </x:c>
      <x:c r="D43" s="5" t="str"/>
      <x:c r="E43" s="1" t="str">
        <x:v>Production</x:v>
      </x:c>
      <x:c r="F43" s="1" t="str">
        <x:v>School Textbook</x:v>
      </x:c>
      <x:c r="G43" s="1" t="str">
        <x:v>High</x:v>
      </x:c>
      <x:c r="H43" s="1" t="str">
        <x:v>AI-Assisted</x:v>
      </x:c>
      <x:c r="I43" s="1" t="str">
        <x:v>Few-shot v2</x:v>
      </x:c>
      <x:c r="J43" s="1" t="n">
        <x:v>118</x:v>
      </x:c>
      <x:c r="K43" s="6" t="n">
        <x:v>52.9</x:v>
      </x:c>
      <x:c r="L43" s="6" t="n">
        <x:v>77.9</x:v>
      </x:c>
      <x:c r="M43" s="6" t="n">
        <x:v>25</x:v>
      </x:c>
      <x:c r="N43" s="6" t="n">
        <x:v>53093.31</x:v>
      </x:c>
      <x:c r="O43" s="6" t="n">
        <x:v>78137.82</x:v>
      </x:c>
      <x:c r="P43" s="6" t="n">
        <x:v>25044.51</x:v>
      </x:c>
      <x:c r="Q43" s="1" t="n">
        <x:v>0</x:v>
      </x:c>
      <x:c r="R43" s="1" t="str"/>
      <x:c r="S43" s="7" t="n">
        <x:v>84</x:v>
      </x:c>
      <x:c r="T43" s="1" t="str"/>
      <x:c r="U43" s="1" t="str">
        <x:v>In Progress</x:v>
      </x:c>
    </x:row>
    <x:row r="44">
      <x:c r="A44" s="1" t="str">
        <x:v>PUB-0043</x:v>
      </x:c>
      <x:c r="B44" s="5" t="n">
        <x:v>45934</x:v>
      </x:c>
      <x:c r="C44" s="5" t="n">
        <x:v>45946</x:v>
      </x:c>
      <x:c r="D44" s="5" t="n">
        <x:v>45942</x:v>
      </x:c>
      <x:c r="E44" s="1" t="str">
        <x:v>Production</x:v>
      </x:c>
      <x:c r="F44" s="1" t="str">
        <x:v>E-book</x:v>
      </x:c>
      <x:c r="G44" s="1" t="str">
        <x:v>Medium</x:v>
      </x:c>
      <x:c r="H44" s="1" t="str">
        <x:v>Manual</x:v>
      </x:c>
      <x:c r="I44" s="1" t="str">
        <x:v>Manual / NA</x:v>
      </x:c>
      <x:c r="J44" s="1" t="n">
        <x:v>127</x:v>
      </x:c>
      <x:c r="K44" s="6" t="n">
        <x:v>61.8</x:v>
      </x:c>
      <x:c r="L44" s="6" t="n">
        <x:v>66.1</x:v>
      </x:c>
      <x:c r="M44" s="6" t="n">
        <x:v>4.3</x:v>
      </x:c>
      <x:c r="N44" s="6" t="n">
        <x:v>66487.94</x:v>
      </x:c>
      <x:c r="O44" s="6" t="n">
        <x:v>71162.4</x:v>
      </x:c>
      <x:c r="P44" s="6" t="n">
        <x:v>4674.46</x:v>
      </x:c>
      <x:c r="Q44" s="1" t="n">
        <x:v>0</x:v>
      </x:c>
      <x:c r="R44" s="1" t="str">
        <x:v>Yes</x:v>
      </x:c>
      <x:c r="S44" s="7" t="n">
        <x:v>94.7</x:v>
      </x:c>
      <x:c r="T44" s="1" t="str">
        <x:v>Yes</x:v>
      </x:c>
      <x:c r="U44" s="1" t="str">
        <x:v>Completed</x:v>
      </x:c>
    </x:row>
    <x:row r="45">
      <x:c r="A45" s="1" t="str">
        <x:v>PUB-0044</x:v>
      </x:c>
      <x:c r="B45" s="5" t="n">
        <x:v>46046</x:v>
      </x:c>
      <x:c r="C45" s="5" t="n">
        <x:v>46053</x:v>
      </x:c>
      <x:c r="D45" s="5" t="n">
        <x:v>46050</x:v>
      </x:c>
      <x:c r="E45" s="1" t="str">
        <x:v>Design</x:v>
      </x:c>
      <x:c r="F45" s="1" t="str">
        <x:v>Assessment</x:v>
      </x:c>
      <x:c r="G45" s="1" t="str">
        <x:v>High</x:v>
      </x:c>
      <x:c r="H45" s="1" t="str">
        <x:v>AI-Assisted</x:v>
      </x:c>
      <x:c r="I45" s="1" t="str">
        <x:v>Few-shot v2</x:v>
      </x:c>
      <x:c r="J45" s="1" t="n">
        <x:v>49</x:v>
      </x:c>
      <x:c r="K45" s="6" t="n">
        <x:v>19.4</x:v>
      </x:c>
      <x:c r="L45" s="6" t="n">
        <x:v>28.1</x:v>
      </x:c>
      <x:c r="M45" s="6" t="n">
        <x:v>8.7</x:v>
      </x:c>
      <x:c r="N45" s="6" t="n">
        <x:v>19411.48</x:v>
      </x:c>
      <x:c r="O45" s="6" t="n">
        <x:v>28144.33</x:v>
      </x:c>
      <x:c r="P45" s="6" t="n">
        <x:v>8732.85</x:v>
      </x:c>
      <x:c r="Q45" s="1" t="n">
        <x:v>1</x:v>
      </x:c>
      <x:c r="R45" s="1" t="str">
        <x:v>No</x:v>
      </x:c>
      <x:c r="S45" s="7" t="n">
        <x:v>93.3</x:v>
      </x:c>
      <x:c r="T45" s="1" t="str">
        <x:v>Yes</x:v>
      </x:c>
      <x:c r="U45" s="1" t="str">
        <x:v>Completed</x:v>
      </x:c>
    </x:row>
    <x:row r="46">
      <x:c r="A46" s="1" t="str">
        <x:v>PUB-0045</x:v>
      </x:c>
      <x:c r="B46" s="5" t="n">
        <x:v>46074</x:v>
      </x:c>
      <x:c r="C46" s="5" t="n">
        <x:v>46083</x:v>
      </x:c>
      <x:c r="D46" s="5" t="n">
        <x:v>46076</x:v>
      </x:c>
      <x:c r="E46" s="1" t="str">
        <x:v>Design</x:v>
      </x:c>
      <x:c r="F46" s="1" t="str">
        <x:v>Illustration</x:v>
      </x:c>
      <x:c r="G46" s="1" t="str">
        <x:v>Medium</x:v>
      </x:c>
      <x:c r="H46" s="1" t="str">
        <x:v>AI-Assisted</x:v>
      </x:c>
      <x:c r="I46" s="1" t="str">
        <x:v>Editorial QA</x:v>
      </x:c>
      <x:c r="J46" s="1" t="n">
        <x:v>66</x:v>
      </x:c>
      <x:c r="K46" s="6" t="n">
        <x:v>13.2</x:v>
      </x:c>
      <x:c r="L46" s="6" t="n">
        <x:v>24</x:v>
      </x:c>
      <x:c r="M46" s="6" t="n">
        <x:v>10.8</x:v>
      </x:c>
      <x:c r="N46" s="6" t="n">
        <x:v>11249.05</x:v>
      </x:c>
      <x:c r="O46" s="6" t="n">
        <x:v>20461.65</x:v>
      </x:c>
      <x:c r="P46" s="6" t="n">
        <x:v>9212.6</x:v>
      </x:c>
      <x:c r="Q46" s="1" t="n">
        <x:v>0</x:v>
      </x:c>
      <x:c r="R46" s="1" t="str">
        <x:v>Yes</x:v>
      </x:c>
      <x:c r="S46" s="7" t="n">
        <x:v>86.3</x:v>
      </x:c>
      <x:c r="T46" s="1" t="str">
        <x:v>Yes</x:v>
      </x:c>
      <x:c r="U46" s="1" t="str">
        <x:v>Completed</x:v>
      </x:c>
    </x:row>
    <x:row r="47">
      <x:c r="A47" s="1" t="str">
        <x:v>PUB-0046</x:v>
      </x:c>
      <x:c r="B47" s="5" t="n">
        <x:v>45996</x:v>
      </x:c>
      <x:c r="C47" s="5" t="n">
        <x:v>46007</x:v>
      </x:c>
      <x:c r="D47" s="5" t="n">
        <x:v>46001</x:v>
      </x:c>
      <x:c r="E47" s="1" t="str">
        <x:v>Design</x:v>
      </x:c>
      <x:c r="F47" s="1" t="str">
        <x:v>Workbook</x:v>
      </x:c>
      <x:c r="G47" s="1" t="str">
        <x:v>Low</x:v>
      </x:c>
      <x:c r="H47" s="1" t="str">
        <x:v>AI-Assisted</x:v>
      </x:c>
      <x:c r="I47" s="1" t="str">
        <x:v>Structured v3</x:v>
      </x:c>
      <x:c r="J47" s="1" t="n">
        <x:v>192</x:v>
      </x:c>
      <x:c r="K47" s="6" t="n">
        <x:v>37</x:v>
      </x:c>
      <x:c r="L47" s="6" t="n">
        <x:v>60.8</x:v>
      </x:c>
      <x:c r="M47" s="6" t="n">
        <x:v>23.8</x:v>
      </x:c>
      <x:c r="N47" s="6" t="n">
        <x:v>38150.51</x:v>
      </x:c>
      <x:c r="O47" s="6" t="n">
        <x:v>62710.56</x:v>
      </x:c>
      <x:c r="P47" s="6" t="n">
        <x:v>24560.05</x:v>
      </x:c>
      <x:c r="Q47" s="1" t="n">
        <x:v>0</x:v>
      </x:c>
      <x:c r="R47" s="1" t="str">
        <x:v>Yes</x:v>
      </x:c>
      <x:c r="S47" s="7" t="n">
        <x:v>84.5</x:v>
      </x:c>
      <x:c r="T47" s="1" t="str">
        <x:v>Yes</x:v>
      </x:c>
      <x:c r="U47" s="1" t="str">
        <x:v>Completed</x:v>
      </x:c>
    </x:row>
    <x:row r="48">
      <x:c r="A48" s="1" t="str">
        <x:v>PUB-0047</x:v>
      </x:c>
      <x:c r="B48" s="5" t="n">
        <x:v>46195</x:v>
      </x:c>
      <x:c r="C48" s="5" t="n">
        <x:v>46206</x:v>
      </x:c>
      <x:c r="D48" s="5" t="n">
        <x:v>46198</x:v>
      </x:c>
      <x:c r="E48" s="1" t="str">
        <x:v>Production</x:v>
      </x:c>
      <x:c r="F48" s="1" t="str">
        <x:v>E-book</x:v>
      </x:c>
      <x:c r="G48" s="1" t="str">
        <x:v>Low</x:v>
      </x:c>
      <x:c r="H48" s="1" t="str">
        <x:v>Manual</x:v>
      </x:c>
      <x:c r="I48" s="1" t="str">
        <x:v>Manual / NA</x:v>
      </x:c>
      <x:c r="J48" s="1" t="n">
        <x:v>83</x:v>
      </x:c>
      <x:c r="K48" s="6" t="n">
        <x:v>24</x:v>
      </x:c>
      <x:c r="L48" s="6" t="n">
        <x:v>27.2</x:v>
      </x:c>
      <x:c r="M48" s="6" t="n">
        <x:v>3.2</x:v>
      </x:c>
      <x:c r="N48" s="6" t="n">
        <x:v>22009.62</x:v>
      </x:c>
      <x:c r="O48" s="6" t="n">
        <x:v>24933.61</x:v>
      </x:c>
      <x:c r="P48" s="6" t="n">
        <x:v>2923.99</x:v>
      </x:c>
      <x:c r="Q48" s="1" t="n">
        <x:v>0</x:v>
      </x:c>
      <x:c r="R48" s="1" t="str">
        <x:v>Yes</x:v>
      </x:c>
      <x:c r="S48" s="7" t="n">
        <x:v>91.9</x:v>
      </x:c>
      <x:c r="T48" s="1" t="str">
        <x:v>Yes</x:v>
      </x:c>
      <x:c r="U48" s="1" t="str">
        <x:v>Completed</x:v>
      </x:c>
    </x:row>
    <x:row r="49">
      <x:c r="A49" s="1" t="str">
        <x:v>PUB-0048</x:v>
      </x:c>
      <x:c r="B49" s="5" t="n">
        <x:v>46160</x:v>
      </x:c>
      <x:c r="C49" s="5" t="n">
        <x:v>46169</x:v>
      </x:c>
      <x:c r="D49" s="5" t="n">
        <x:v>46163</x:v>
      </x:c>
      <x:c r="E49" s="1" t="str">
        <x:v>Editorial</x:v>
      </x:c>
      <x:c r="F49" s="1" t="str">
        <x:v>School Textbook</x:v>
      </x:c>
      <x:c r="G49" s="1" t="str">
        <x:v>Low</x:v>
      </x:c>
      <x:c r="H49" s="1" t="str">
        <x:v>AI-Assisted</x:v>
      </x:c>
      <x:c r="I49" s="1" t="str">
        <x:v>Few-shot v2</x:v>
      </x:c>
      <x:c r="J49" s="1" t="n">
        <x:v>95</x:v>
      </x:c>
      <x:c r="K49" s="6" t="n">
        <x:v>20.4</x:v>
      </x:c>
      <x:c r="L49" s="6" t="n">
        <x:v>28.9</x:v>
      </x:c>
      <x:c r="M49" s="6" t="n">
        <x:v>8.5</x:v>
      </x:c>
      <x:c r="N49" s="6" t="n">
        <x:v>18132.84</x:v>
      </x:c>
      <x:c r="O49" s="6" t="n">
        <x:v>25709.96</x:v>
      </x:c>
      <x:c r="P49" s="6" t="n">
        <x:v>7577.12</x:v>
      </x:c>
      <x:c r="Q49" s="1" t="n">
        <x:v>0</x:v>
      </x:c>
      <x:c r="R49" s="1" t="str">
        <x:v>Yes</x:v>
      </x:c>
      <x:c r="S49" s="7" t="n">
        <x:v>87.9</x:v>
      </x:c>
      <x:c r="T49" s="1" t="str">
        <x:v>Yes</x:v>
      </x:c>
      <x:c r="U49" s="1" t="str">
        <x:v>Completed</x:v>
      </x:c>
    </x:row>
    <x:row r="50">
      <x:c r="A50" s="1" t="str">
        <x:v>PUB-0049</x:v>
      </x:c>
      <x:c r="B50" s="5" t="n">
        <x:v>45712</x:v>
      </x:c>
      <x:c r="C50" s="5" t="n">
        <x:v>45719</x:v>
      </x:c>
      <x:c r="D50" s="5" t="n">
        <x:v>45713</x:v>
      </x:c>
      <x:c r="E50" s="1" t="str">
        <x:v>Editorial</x:v>
      </x:c>
      <x:c r="F50" s="1" t="str">
        <x:v>Illustration</x:v>
      </x:c>
      <x:c r="G50" s="1" t="str">
        <x:v>High</x:v>
      </x:c>
      <x:c r="H50" s="1" t="str">
        <x:v>Manual</x:v>
      </x:c>
      <x:c r="I50" s="1" t="str">
        <x:v>Manual / NA</x:v>
      </x:c>
      <x:c r="J50" s="1" t="n">
        <x:v>14</x:v>
      </x:c>
      <x:c r="K50" s="6" t="n">
        <x:v>7.4</x:v>
      </x:c>
      <x:c r="L50" s="6" t="n">
        <x:v>7.1</x:v>
      </x:c>
      <x:c r="M50" s="6" t="n">
        <x:v>0</x:v>
      </x:c>
      <x:c r="N50" s="6" t="n">
        <x:v>7053.38</x:v>
      </x:c>
      <x:c r="O50" s="6" t="n">
        <x:v>6800.19</x:v>
      </x:c>
      <x:c r="P50" s="6" t="n">
        <x:v>0</x:v>
      </x:c>
      <x:c r="Q50" s="1" t="n">
        <x:v>0</x:v>
      </x:c>
      <x:c r="R50" s="1" t="str">
        <x:v>Yes</x:v>
      </x:c>
      <x:c r="S50" s="7" t="n">
        <x:v>86</x:v>
      </x:c>
      <x:c r="T50" s="1" t="str">
        <x:v>Yes</x:v>
      </x:c>
      <x:c r="U50" s="1" t="str">
        <x:v>Completed</x:v>
      </x:c>
    </x:row>
    <x:row r="51">
      <x:c r="A51" s="1" t="str">
        <x:v>PUB-0050</x:v>
      </x:c>
      <x:c r="B51" s="5" t="n">
        <x:v>46097</x:v>
      </x:c>
      <x:c r="C51" s="5" t="n">
        <x:v>46102</x:v>
      </x:c>
      <x:c r="D51" s="5" t="n">
        <x:v>46098</x:v>
      </x:c>
      <x:c r="E51" s="1" t="str">
        <x:v>Editorial</x:v>
      </x:c>
      <x:c r="F51" s="1" t="str">
        <x:v>Assessment</x:v>
      </x:c>
      <x:c r="G51" s="1" t="str">
        <x:v>Medium</x:v>
      </x:c>
      <x:c r="H51" s="1" t="str">
        <x:v>AI-Assisted</x:v>
      </x:c>
      <x:c r="I51" s="1" t="str">
        <x:v>Editorial QA</x:v>
      </x:c>
      <x:c r="J51" s="1" t="n">
        <x:v>30</x:v>
      </x:c>
      <x:c r="K51" s="6" t="n">
        <x:v>6.3</x:v>
      </x:c>
      <x:c r="L51" s="6" t="n">
        <x:v>12.5</x:v>
      </x:c>
      <x:c r="M51" s="6" t="n">
        <x:v>6.2</x:v>
      </x:c>
      <x:c r="N51" s="6" t="n">
        <x:v>4850.58</x:v>
      </x:c>
      <x:c r="O51" s="6" t="n">
        <x:v>9660.09</x:v>
      </x:c>
      <x:c r="P51" s="6" t="n">
        <x:v>4809.51</x:v>
      </x:c>
      <x:c r="Q51" s="1" t="n">
        <x:v>0</x:v>
      </x:c>
      <x:c r="R51" s="1" t="str">
        <x:v>Yes</x:v>
      </x:c>
      <x:c r="S51" s="7" t="n">
        <x:v>95.6</x:v>
      </x:c>
      <x:c r="T51" s="1" t="str">
        <x:v>Yes</x:v>
      </x:c>
      <x:c r="U51" s="1" t="str">
        <x:v>Completed</x:v>
      </x:c>
    </x:row>
    <x:row r="52">
      <x:c r="A52" s="1" t="str">
        <x:v>PUB-0051</x:v>
      </x:c>
      <x:c r="B52" s="5" t="n">
        <x:v>46139</x:v>
      </x:c>
      <x:c r="C52" s="5" t="n">
        <x:v>46147</x:v>
      </x:c>
      <x:c r="D52" s="5" t="n">
        <x:v>46142</x:v>
      </x:c>
      <x:c r="E52" s="1" t="str">
        <x:v>Editorial</x:v>
      </x:c>
      <x:c r="F52" s="1" t="str">
        <x:v>School Textbook</x:v>
      </x:c>
      <x:c r="G52" s="1" t="str">
        <x:v>Low</x:v>
      </x:c>
      <x:c r="H52" s="1" t="str">
        <x:v>AI-Assisted</x:v>
      </x:c>
      <x:c r="I52" s="1" t="str">
        <x:v>Editorial QA</x:v>
      </x:c>
      <x:c r="J52" s="1" t="n">
        <x:v>124</x:v>
      </x:c>
      <x:c r="K52" s="6" t="n">
        <x:v>22.7</x:v>
      </x:c>
      <x:c r="L52" s="6" t="n">
        <x:v>41.8</x:v>
      </x:c>
      <x:c r="M52" s="6" t="n">
        <x:v>19.1</x:v>
      </x:c>
      <x:c r="N52" s="6" t="n">
        <x:v>23735.66</x:v>
      </x:c>
      <x:c r="O52" s="6" t="n">
        <x:v>43734.68</x:v>
      </x:c>
      <x:c r="P52" s="6" t="n">
        <x:v>19999.02</x:v>
      </x:c>
      <x:c r="Q52" s="1" t="n">
        <x:v>0</x:v>
      </x:c>
      <x:c r="R52" s="1" t="str">
        <x:v>Yes</x:v>
      </x:c>
      <x:c r="S52" s="7" t="n">
        <x:v>90.2</x:v>
      </x:c>
      <x:c r="T52" s="1" t="str">
        <x:v>Yes</x:v>
      </x:c>
      <x:c r="U52" s="1" t="str">
        <x:v>Completed</x:v>
      </x:c>
    </x:row>
    <x:row r="53">
      <x:c r="A53" s="1" t="str">
        <x:v>PUB-0052</x:v>
      </x:c>
      <x:c r="B53" s="5" t="n">
        <x:v>45810</x:v>
      </x:c>
      <x:c r="C53" s="5" t="n">
        <x:v>45817</x:v>
      </x:c>
      <x:c r="D53" s="5" t="n">
        <x:v>45812</x:v>
      </x:c>
      <x:c r="E53" s="1" t="str">
        <x:v>Digital Learning</x:v>
      </x:c>
      <x:c r="F53" s="1" t="str">
        <x:v>Illustration</x:v>
      </x:c>
      <x:c r="G53" s="1" t="str">
        <x:v>Medium</x:v>
      </x:c>
      <x:c r="H53" s="1" t="str">
        <x:v>AI-Assisted</x:v>
      </x:c>
      <x:c r="I53" s="1" t="str">
        <x:v>Structured v3</x:v>
      </x:c>
      <x:c r="J53" s="1" t="n">
        <x:v>43</x:v>
      </x:c>
      <x:c r="K53" s="6" t="n">
        <x:v>16.3</x:v>
      </x:c>
      <x:c r="L53" s="6" t="n">
        <x:v>23.3</x:v>
      </x:c>
      <x:c r="M53" s="6" t="n">
        <x:v>7</x:v>
      </x:c>
      <x:c r="N53" s="6" t="n">
        <x:v>14174.1</x:v>
      </x:c>
      <x:c r="O53" s="6" t="n">
        <x:v>20241.41</x:v>
      </x:c>
      <x:c r="P53" s="6" t="n">
        <x:v>6067.31</x:v>
      </x:c>
      <x:c r="Q53" s="1" t="n">
        <x:v>0</x:v>
      </x:c>
      <x:c r="R53" s="1" t="str">
        <x:v>Yes</x:v>
      </x:c>
      <x:c r="S53" s="7" t="n">
        <x:v>85.6</x:v>
      </x:c>
      <x:c r="T53" s="1" t="str">
        <x:v>Yes</x:v>
      </x:c>
      <x:c r="U53" s="1" t="str">
        <x:v>Completed</x:v>
      </x:c>
    </x:row>
    <x:row r="54">
      <x:c r="A54" s="1" t="str">
        <x:v>PUB-0053</x:v>
      </x:c>
      <x:c r="B54" s="5" t="n">
        <x:v>45936</x:v>
      </x:c>
      <x:c r="C54" s="5" t="n">
        <x:v>45942</x:v>
      </x:c>
      <x:c r="D54" s="5" t="n">
        <x:v>45938</x:v>
      </x:c>
      <x:c r="E54" s="1" t="str">
        <x:v>Design</x:v>
      </x:c>
      <x:c r="F54" s="1" t="str">
        <x:v>Assessment</x:v>
      </x:c>
      <x:c r="G54" s="1" t="str">
        <x:v>Medium</x:v>
      </x:c>
      <x:c r="H54" s="1" t="str">
        <x:v>AI-Assisted</x:v>
      </x:c>
      <x:c r="I54" s="1" t="str">
        <x:v>Structured v3</x:v>
      </x:c>
      <x:c r="J54" s="1" t="n">
        <x:v>59</x:v>
      </x:c>
      <x:c r="K54" s="6" t="n">
        <x:v>14.1</x:v>
      </x:c>
      <x:c r="L54" s="6" t="n">
        <x:v>29.1</x:v>
      </x:c>
      <x:c r="M54" s="6" t="n">
        <x:v>15</x:v>
      </x:c>
      <x:c r="N54" s="6" t="n">
        <x:v>10778.92</x:v>
      </x:c>
      <x:c r="O54" s="6" t="n">
        <x:v>22227.66</x:v>
      </x:c>
      <x:c r="P54" s="6" t="n">
        <x:v>11448.74</x:v>
      </x:c>
      <x:c r="Q54" s="1" t="n">
        <x:v>0</x:v>
      </x:c>
      <x:c r="R54" s="1" t="str">
        <x:v>Yes</x:v>
      </x:c>
      <x:c r="S54" s="7" t="n">
        <x:v>93.7</x:v>
      </x:c>
      <x:c r="T54" s="1" t="str">
        <x:v>Yes</x:v>
      </x:c>
      <x:c r="U54" s="1" t="str">
        <x:v>Completed</x:v>
      </x:c>
    </x:row>
    <x:row r="55">
      <x:c r="A55" s="1" t="str">
        <x:v>PUB-0054</x:v>
      </x:c>
      <x:c r="B55" s="5" t="n">
        <x:v>45699</x:v>
      </x:c>
      <x:c r="C55" s="5" t="n">
        <x:v>45707</x:v>
      </x:c>
      <x:c r="D55" s="5" t="n">
        <x:v>45704</x:v>
      </x:c>
      <x:c r="E55" s="1" t="str">
        <x:v>Production</x:v>
      </x:c>
      <x:c r="F55" s="1" t="str">
        <x:v>School Textbook</x:v>
      </x:c>
      <x:c r="G55" s="1" t="str">
        <x:v>Low</x:v>
      </x:c>
      <x:c r="H55" s="1" t="str">
        <x:v>AI-Assisted</x:v>
      </x:c>
      <x:c r="I55" s="1" t="str">
        <x:v>Few-shot v2</x:v>
      </x:c>
      <x:c r="J55" s="1" t="n">
        <x:v>79</x:v>
      </x:c>
      <x:c r="K55" s="6" t="n">
        <x:v>20</x:v>
      </x:c>
      <x:c r="L55" s="6" t="n">
        <x:v>31.7</x:v>
      </x:c>
      <x:c r="M55" s="6" t="n">
        <x:v>11.7</x:v>
      </x:c>
      <x:c r="N55" s="6" t="n">
        <x:v>17917.26</x:v>
      </x:c>
      <x:c r="O55" s="6" t="n">
        <x:v>28365.42</x:v>
      </x:c>
      <x:c r="P55" s="6" t="n">
        <x:v>10448.16</x:v>
      </x:c>
      <x:c r="Q55" s="1" t="n">
        <x:v>1</x:v>
      </x:c>
      <x:c r="R55" s="1" t="str">
        <x:v>No</x:v>
      </x:c>
      <x:c r="S55" s="7" t="n">
        <x:v>81.8</x:v>
      </x:c>
      <x:c r="T55" s="1" t="str">
        <x:v>Yes</x:v>
      </x:c>
      <x:c r="U55" s="1" t="str">
        <x:v>Completed</x:v>
      </x:c>
    </x:row>
    <x:row r="56">
      <x:c r="A56" s="1" t="str">
        <x:v>PUB-0055</x:v>
      </x:c>
      <x:c r="B56" s="5" t="n">
        <x:v>45822</x:v>
      </x:c>
      <x:c r="C56" s="5" t="n">
        <x:v>45831</x:v>
      </x:c>
      <x:c r="D56" s="5" t="n">
        <x:v>45823</x:v>
      </x:c>
      <x:c r="E56" s="1" t="str">
        <x:v>Editorial</x:v>
      </x:c>
      <x:c r="F56" s="1" t="str">
        <x:v>Illustration</x:v>
      </x:c>
      <x:c r="G56" s="1" t="str">
        <x:v>Medium</x:v>
      </x:c>
      <x:c r="H56" s="1" t="str">
        <x:v>AI-Assisted</x:v>
      </x:c>
      <x:c r="I56" s="1" t="str">
        <x:v>Visual Brief</x:v>
      </x:c>
      <x:c r="J56" s="1" t="n">
        <x:v>8</x:v>
      </x:c>
      <x:c r="K56" s="6" t="n">
        <x:v>1.9</x:v>
      </x:c>
      <x:c r="L56" s="6" t="n">
        <x:v>3.4</x:v>
      </x:c>
      <x:c r="M56" s="6" t="n">
        <x:v>1.5</x:v>
      </x:c>
      <x:c r="N56" s="6" t="n">
        <x:v>2156.68</x:v>
      </x:c>
      <x:c r="O56" s="6" t="n">
        <x:v>3897.4</x:v>
      </x:c>
      <x:c r="P56" s="6" t="n">
        <x:v>1740.72</x:v>
      </x:c>
      <x:c r="Q56" s="1" t="n">
        <x:v>0</x:v>
      </x:c>
      <x:c r="R56" s="1" t="str">
        <x:v>Yes</x:v>
      </x:c>
      <x:c r="S56" s="7" t="n">
        <x:v>72.7</x:v>
      </x:c>
      <x:c r="T56" s="1" t="str">
        <x:v>Yes</x:v>
      </x:c>
      <x:c r="U56" s="1" t="str">
        <x:v>Completed</x:v>
      </x:c>
    </x:row>
    <x:row r="57">
      <x:c r="A57" s="1" t="str">
        <x:v>PUB-0056</x:v>
      </x:c>
      <x:c r="B57" s="5" t="n">
        <x:v>45713</x:v>
      </x:c>
      <x:c r="C57" s="5" t="n">
        <x:v>45728</x:v>
      </x:c>
      <x:c r="D57" s="5" t="n">
        <x:v>45721</x:v>
      </x:c>
      <x:c r="E57" s="1" t="str">
        <x:v>Editorial</x:v>
      </x:c>
      <x:c r="F57" s="1" t="str">
        <x:v>Workbook</x:v>
      </x:c>
      <x:c r="G57" s="1" t="str">
        <x:v>Medium</x:v>
      </x:c>
      <x:c r="H57" s="1" t="str">
        <x:v>Manual</x:v>
      </x:c>
      <x:c r="I57" s="1" t="str">
        <x:v>Manual / NA</x:v>
      </x:c>
      <x:c r="J57" s="1" t="n">
        <x:v>168</x:v>
      </x:c>
      <x:c r="K57" s="6" t="n">
        <x:v>58.2</x:v>
      </x:c>
      <x:c r="L57" s="6" t="n">
        <x:v>62.4</x:v>
      </x:c>
      <x:c r="M57" s="6" t="n">
        <x:v>4.2</x:v>
      </x:c>
      <x:c r="N57" s="6" t="n">
        <x:v>41642.48</x:v>
      </x:c>
      <x:c r="O57" s="6" t="n">
        <x:v>44638.72</x:v>
      </x:c>
      <x:c r="P57" s="6" t="n">
        <x:v>2996.24</x:v>
      </x:c>
      <x:c r="Q57" s="1" t="n">
        <x:v>0</x:v>
      </x:c>
      <x:c r="R57" s="1" t="str">
        <x:v>Yes</x:v>
      </x:c>
      <x:c r="S57" s="7" t="n">
        <x:v>83.5</x:v>
      </x:c>
      <x:c r="T57" s="1" t="str">
        <x:v>Yes</x:v>
      </x:c>
      <x:c r="U57" s="1" t="str">
        <x:v>Completed</x:v>
      </x:c>
    </x:row>
    <x:row r="58">
      <x:c r="A58" s="1" t="str">
        <x:v>PUB-0057</x:v>
      </x:c>
      <x:c r="B58" s="5" t="n">
        <x:v>45903</x:v>
      </x:c>
      <x:c r="C58" s="5" t="n">
        <x:v>45915</x:v>
      </x:c>
      <x:c r="D58" s="5" t="n">
        <x:v>45907</x:v>
      </x:c>
      <x:c r="E58" s="1" t="str">
        <x:v>Production</x:v>
      </x:c>
      <x:c r="F58" s="1" t="str">
        <x:v>Workbook</x:v>
      </x:c>
      <x:c r="G58" s="1" t="str">
        <x:v>High</x:v>
      </x:c>
      <x:c r="H58" s="1" t="str">
        <x:v>AI-Assisted</x:v>
      </x:c>
      <x:c r="I58" s="1" t="str">
        <x:v>Few-shot v2</x:v>
      </x:c>
      <x:c r="J58" s="1" t="n">
        <x:v>65</x:v>
      </x:c>
      <x:c r="K58" s="6" t="n">
        <x:v>28.4</x:v>
      </x:c>
      <x:c r="L58" s="6" t="n">
        <x:v>48.1</x:v>
      </x:c>
      <x:c r="M58" s="6" t="n">
        <x:v>19.7</x:v>
      </x:c>
      <x:c r="N58" s="6" t="n">
        <x:v>20128.02</x:v>
      </x:c>
      <x:c r="O58" s="6" t="n">
        <x:v>34104.56</x:v>
      </x:c>
      <x:c r="P58" s="6" t="n">
        <x:v>13976.54</x:v>
      </x:c>
      <x:c r="Q58" s="1" t="n">
        <x:v>0</x:v>
      </x:c>
      <x:c r="R58" s="1" t="str">
        <x:v>Yes</x:v>
      </x:c>
      <x:c r="S58" s="7" t="n">
        <x:v>80.3</x:v>
      </x:c>
      <x:c r="T58" s="1" t="str">
        <x:v>Yes</x:v>
      </x:c>
      <x:c r="U58" s="1" t="str">
        <x:v>Completed</x:v>
      </x:c>
    </x:row>
    <x:row r="59">
      <x:c r="A59" s="1" t="str">
        <x:v>PUB-0058</x:v>
      </x:c>
      <x:c r="B59" s="5" t="n">
        <x:v>46152</x:v>
      </x:c>
      <x:c r="C59" s="5" t="n">
        <x:v>46169</x:v>
      </x:c>
      <x:c r="D59" s="5" t="str"/>
      <x:c r="E59" s="1" t="str">
        <x:v>Digital Learning</x:v>
      </x:c>
      <x:c r="F59" s="1" t="str">
        <x:v>Workbook</x:v>
      </x:c>
      <x:c r="G59" s="1" t="str">
        <x:v>Medium</x:v>
      </x:c>
      <x:c r="H59" s="1" t="str">
        <x:v>AI-Assisted</x:v>
      </x:c>
      <x:c r="I59" s="1" t="str">
        <x:v>Few-shot v2</x:v>
      </x:c>
      <x:c r="J59" s="1" t="n">
        <x:v>161</x:v>
      </x:c>
      <x:c r="K59" s="6" t="n">
        <x:v>61.2</x:v>
      </x:c>
      <x:c r="L59" s="6" t="n">
        <x:v>89.1</x:v>
      </x:c>
      <x:c r="M59" s="6" t="n">
        <x:v>27.9</x:v>
      </x:c>
      <x:c r="N59" s="6" t="n">
        <x:v>48233.17</x:v>
      </x:c>
      <x:c r="O59" s="6" t="n">
        <x:v>70226.34</x:v>
      </x:c>
      <x:c r="P59" s="6" t="n">
        <x:v>21993.17</x:v>
      </x:c>
      <x:c r="Q59" s="1" t="n">
        <x:v>0</x:v>
      </x:c>
      <x:c r="R59" s="1" t="str"/>
      <x:c r="S59" s="7" t="n">
        <x:v>89.1</x:v>
      </x:c>
      <x:c r="T59" s="1" t="str"/>
      <x:c r="U59" s="1" t="str">
        <x:v>In Review</x:v>
      </x:c>
    </x:row>
    <x:row r="60">
      <x:c r="A60" s="1" t="str">
        <x:v>PUB-0059</x:v>
      </x:c>
      <x:c r="B60" s="5" t="n">
        <x:v>46177</x:v>
      </x:c>
      <x:c r="C60" s="5" t="n">
        <x:v>46193</x:v>
      </x:c>
      <x:c r="D60" s="5" t="str"/>
      <x:c r="E60" s="1" t="str">
        <x:v>Editorial</x:v>
      </x:c>
      <x:c r="F60" s="1" t="str">
        <x:v>School Textbook</x:v>
      </x:c>
      <x:c r="G60" s="1" t="str">
        <x:v>Medium</x:v>
      </x:c>
      <x:c r="H60" s="1" t="str">
        <x:v>Manual</x:v>
      </x:c>
      <x:c r="I60" s="1" t="str">
        <x:v>Manual / NA</x:v>
      </x:c>
      <x:c r="J60" s="1" t="n">
        <x:v>158</x:v>
      </x:c>
      <x:c r="K60" s="6" t="n">
        <x:v>84.1</x:v>
      </x:c>
      <x:c r="L60" s="6" t="n">
        <x:v>79.8</x:v>
      </x:c>
      <x:c r="M60" s="6" t="n">
        <x:v>0</x:v>
      </x:c>
      <x:c r="N60" s="6" t="n">
        <x:v>73442.32</x:v>
      </x:c>
      <x:c r="O60" s="6" t="n">
        <x:v>69704.31</x:v>
      </x:c>
      <x:c r="P60" s="6" t="n">
        <x:v>0</x:v>
      </x:c>
      <x:c r="Q60" s="1" t="n">
        <x:v>0</x:v>
      </x:c>
      <x:c r="R60" s="1" t="str"/>
      <x:c r="S60" s="7" t="n">
        <x:v>80.4</x:v>
      </x:c>
      <x:c r="T60" s="1" t="str"/>
      <x:c r="U60" s="1" t="str">
        <x:v>In Review</x:v>
      </x:c>
    </x:row>
    <x:row r="61">
      <x:c r="A61" s="1" t="str">
        <x:v>PUB-0060</x:v>
      </x:c>
      <x:c r="B61" s="5" t="n">
        <x:v>45851</x:v>
      </x:c>
      <x:c r="C61" s="5" t="n">
        <x:v>45864</x:v>
      </x:c>
      <x:c r="D61" s="5" t="str"/>
      <x:c r="E61" s="1" t="str">
        <x:v>Digital Learning</x:v>
      </x:c>
      <x:c r="F61" s="1" t="str">
        <x:v>School Textbook</x:v>
      </x:c>
      <x:c r="G61" s="1" t="str">
        <x:v>Low</x:v>
      </x:c>
      <x:c r="H61" s="1" t="str">
        <x:v>AI-Assisted</x:v>
      </x:c>
      <x:c r="I61" s="1" t="str">
        <x:v>Visual Brief</x:v>
      </x:c>
      <x:c r="J61" s="1" t="n">
        <x:v>113</x:v>
      </x:c>
      <x:c r="K61" s="6" t="n">
        <x:v>31.5</x:v>
      </x:c>
      <x:c r="L61" s="6" t="n">
        <x:v>48.5</x:v>
      </x:c>
      <x:c r="M61" s="6" t="n">
        <x:v>17</x:v>
      </x:c>
      <x:c r="N61" s="6" t="n">
        <x:v>33254.69</x:v>
      </x:c>
      <x:c r="O61" s="6" t="n">
        <x:v>51242.38</x:v>
      </x:c>
      <x:c r="P61" s="6" t="n">
        <x:v>17987.69</x:v>
      </x:c>
      <x:c r="Q61" s="1" t="n">
        <x:v>0</x:v>
      </x:c>
      <x:c r="R61" s="1" t="str"/>
      <x:c r="S61" s="7" t="n">
        <x:v>97.1</x:v>
      </x:c>
      <x:c r="T61" s="1" t="str"/>
      <x:c r="U61" s="1" t="str">
        <x:v>In Progress</x:v>
      </x:c>
    </x:row>
    <x:row r="62">
      <x:c r="A62" s="1" t="str">
        <x:v>PUB-0061</x:v>
      </x:c>
      <x:c r="B62" s="5" t="n">
        <x:v>46165</x:v>
      </x:c>
      <x:c r="C62" s="5" t="n">
        <x:v>46181</x:v>
      </x:c>
      <x:c r="D62" s="5" t="n">
        <x:v>46174</x:v>
      </x:c>
      <x:c r="E62" s="1" t="str">
        <x:v>Digital Learning</x:v>
      </x:c>
      <x:c r="F62" s="1" t="str">
        <x:v>School Textbook</x:v>
      </x:c>
      <x:c r="G62" s="1" t="str">
        <x:v>High</x:v>
      </x:c>
      <x:c r="H62" s="1" t="str">
        <x:v>Manual</x:v>
      </x:c>
      <x:c r="I62" s="1" t="str">
        <x:v>Manual / NA</x:v>
      </x:c>
      <x:c r="J62" s="1" t="n">
        <x:v>92</x:v>
      </x:c>
      <x:c r="K62" s="6" t="n">
        <x:v>64.9</x:v>
      </x:c>
      <x:c r="L62" s="6" t="n">
        <x:v>67.1</x:v>
      </x:c>
      <x:c r="M62" s="6" t="n">
        <x:v>2.2</x:v>
      </x:c>
      <x:c r="N62" s="6" t="n">
        <x:v>59252.11</x:v>
      </x:c>
      <x:c r="O62" s="6" t="n">
        <x:v>61236.89</x:v>
      </x:c>
      <x:c r="P62" s="6" t="n">
        <x:v>1984.78</x:v>
      </x:c>
      <x:c r="Q62" s="1" t="n">
        <x:v>0</x:v>
      </x:c>
      <x:c r="R62" s="1" t="str">
        <x:v>Yes</x:v>
      </x:c>
      <x:c r="S62" s="7" t="n">
        <x:v>84</x:v>
      </x:c>
      <x:c r="T62" s="1" t="str">
        <x:v>Yes</x:v>
      </x:c>
      <x:c r="U62" s="1" t="str">
        <x:v>Completed</x:v>
      </x:c>
    </x:row>
    <x:row r="63">
      <x:c r="A63" s="1" t="str">
        <x:v>PUB-0062</x:v>
      </x:c>
      <x:c r="B63" s="5" t="n">
        <x:v>45929</x:v>
      </x:c>
      <x:c r="C63" s="5" t="n">
        <x:v>45940</x:v>
      </x:c>
      <x:c r="D63" s="5" t="n">
        <x:v>45932</x:v>
      </x:c>
      <x:c r="E63" s="1" t="str">
        <x:v>Design</x:v>
      </x:c>
      <x:c r="F63" s="1" t="str">
        <x:v>Illustration</x:v>
      </x:c>
      <x:c r="G63" s="1" t="str">
        <x:v>High</x:v>
      </x:c>
      <x:c r="H63" s="1" t="str">
        <x:v>AI-Assisted</x:v>
      </x:c>
      <x:c r="I63" s="1" t="str">
        <x:v>Visual Brief</x:v>
      </x:c>
      <x:c r="J63" s="1" t="n">
        <x:v>52</x:v>
      </x:c>
      <x:c r="K63" s="6" t="n">
        <x:v>23.7</x:v>
      </x:c>
      <x:c r="L63" s="6" t="n">
        <x:v>34.2</x:v>
      </x:c>
      <x:c r="M63" s="6" t="n">
        <x:v>10.5</x:v>
      </x:c>
      <x:c r="N63" s="6" t="n">
        <x:v>21187.18</x:v>
      </x:c>
      <x:c r="O63" s="6" t="n">
        <x:v>30552.06</x:v>
      </x:c>
      <x:c r="P63" s="6" t="n">
        <x:v>9364.88</x:v>
      </x:c>
      <x:c r="Q63" s="1" t="n">
        <x:v>0</x:v>
      </x:c>
      <x:c r="R63" s="1" t="str">
        <x:v>Yes</x:v>
      </x:c>
      <x:c r="S63" s="7" t="n">
        <x:v>83.4</x:v>
      </x:c>
      <x:c r="T63" s="1" t="str">
        <x:v>Yes</x:v>
      </x:c>
      <x:c r="U63" s="1" t="str">
        <x:v>Completed</x:v>
      </x:c>
    </x:row>
    <x:row r="64">
      <x:c r="A64" s="1" t="str">
        <x:v>PUB-0063</x:v>
      </x:c>
      <x:c r="B64" s="5" t="n">
        <x:v>45952</x:v>
      </x:c>
      <x:c r="C64" s="5" t="n">
        <x:v>45957</x:v>
      </x:c>
      <x:c r="D64" s="5" t="n">
        <x:v>45953</x:v>
      </x:c>
      <x:c r="E64" s="1" t="str">
        <x:v>Digital Learning</x:v>
      </x:c>
      <x:c r="F64" s="1" t="str">
        <x:v>Illustration</x:v>
      </x:c>
      <x:c r="G64" s="1" t="str">
        <x:v>Medium</x:v>
      </x:c>
      <x:c r="H64" s="1" t="str">
        <x:v>AI-Assisted</x:v>
      </x:c>
      <x:c r="I64" s="1" t="str">
        <x:v>Structured v3</x:v>
      </x:c>
      <x:c r="J64" s="1" t="n">
        <x:v>16</x:v>
      </x:c>
      <x:c r="K64" s="6" t="n">
        <x:v>5.7</x:v>
      </x:c>
      <x:c r="L64" s="6" t="n">
        <x:v>8.2</x:v>
      </x:c>
      <x:c r="M64" s="6" t="n">
        <x:v>2.5</x:v>
      </x:c>
      <x:c r="N64" s="6" t="n">
        <x:v>3836.07</x:v>
      </x:c>
      <x:c r="O64" s="6" t="n">
        <x:v>5520.5</x:v>
      </x:c>
      <x:c r="P64" s="6" t="n">
        <x:v>1684.43</x:v>
      </x:c>
      <x:c r="Q64" s="1" t="n">
        <x:v>0</x:v>
      </x:c>
      <x:c r="R64" s="1" t="str">
        <x:v>Yes</x:v>
      </x:c>
      <x:c r="S64" s="7" t="n">
        <x:v>87.6</x:v>
      </x:c>
      <x:c r="T64" s="1" t="str">
        <x:v>Yes</x:v>
      </x:c>
      <x:c r="U64" s="1" t="str">
        <x:v>Completed</x:v>
      </x:c>
    </x:row>
    <x:row r="65">
      <x:c r="A65" s="1" t="str">
        <x:v>PUB-0064</x:v>
      </x:c>
      <x:c r="B65" s="5" t="n">
        <x:v>45842</x:v>
      </x:c>
      <x:c r="C65" s="5" t="n">
        <x:v>45857</x:v>
      </x:c>
      <x:c r="D65" s="5" t="n">
        <x:v>45852</x:v>
      </x:c>
      <x:c r="E65" s="1" t="str">
        <x:v>Editorial</x:v>
      </x:c>
      <x:c r="F65" s="1" t="str">
        <x:v>School Textbook</x:v>
      </x:c>
      <x:c r="G65" s="1" t="str">
        <x:v>Medium</x:v>
      </x:c>
      <x:c r="H65" s="1" t="str">
        <x:v>Manual</x:v>
      </x:c>
      <x:c r="I65" s="1" t="str">
        <x:v>Manual / NA</x:v>
      </x:c>
      <x:c r="J65" s="1" t="n">
        <x:v>166</x:v>
      </x:c>
      <x:c r="K65" s="6" t="n">
        <x:v>77.7</x:v>
      </x:c>
      <x:c r="L65" s="6" t="n">
        <x:v>77.9</x:v>
      </x:c>
      <x:c r="M65" s="6" t="n">
        <x:v>0.2</x:v>
      </x:c>
      <x:c r="N65" s="6" t="n">
        <x:v>59525.52</x:v>
      </x:c>
      <x:c r="O65" s="6" t="n">
        <x:v>59705.41</x:v>
      </x:c>
      <x:c r="P65" s="6" t="n">
        <x:v>179.89</x:v>
      </x:c>
      <x:c r="Q65" s="1" t="n">
        <x:v>0</x:v>
      </x:c>
      <x:c r="R65" s="1" t="str">
        <x:v>Yes</x:v>
      </x:c>
      <x:c r="S65" s="7" t="n">
        <x:v>90.1</x:v>
      </x:c>
      <x:c r="T65" s="1" t="str">
        <x:v>Yes</x:v>
      </x:c>
      <x:c r="U65" s="1" t="str">
        <x:v>Completed</x:v>
      </x:c>
    </x:row>
    <x:row r="66">
      <x:c r="A66" s="1" t="str">
        <x:v>PUB-0065</x:v>
      </x:c>
      <x:c r="B66" s="5" t="n">
        <x:v>46134</x:v>
      </x:c>
      <x:c r="C66" s="5" t="n">
        <x:v>46146</x:v>
      </x:c>
      <x:c r="D66" s="5" t="n">
        <x:v>46137</x:v>
      </x:c>
      <x:c r="E66" s="1" t="str">
        <x:v>Digital Learning</x:v>
      </x:c>
      <x:c r="F66" s="1" t="str">
        <x:v>Illustration</x:v>
      </x:c>
      <x:c r="G66" s="1" t="str">
        <x:v>High</x:v>
      </x:c>
      <x:c r="H66" s="1" t="str">
        <x:v>AI-Assisted</x:v>
      </x:c>
      <x:c r="I66" s="1" t="str">
        <x:v>Few-shot v2</x:v>
      </x:c>
      <x:c r="J66" s="1" t="n">
        <x:v>48</x:v>
      </x:c>
      <x:c r="K66" s="6" t="n">
        <x:v>19.2</x:v>
      </x:c>
      <x:c r="L66" s="6" t="n">
        <x:v>27</x:v>
      </x:c>
      <x:c r="M66" s="6" t="n">
        <x:v>7.8</x:v>
      </x:c>
      <x:c r="N66" s="6" t="n">
        <x:v>19107.01</x:v>
      </x:c>
      <x:c r="O66" s="6" t="n">
        <x:v>26848.9</x:v>
      </x:c>
      <x:c r="P66" s="6" t="n">
        <x:v>7741.89</x:v>
      </x:c>
      <x:c r="Q66" s="1" t="n">
        <x:v>0</x:v>
      </x:c>
      <x:c r="R66" s="1" t="str">
        <x:v>Yes</x:v>
      </x:c>
      <x:c r="S66" s="7" t="n">
        <x:v>82.2</x:v>
      </x:c>
      <x:c r="T66" s="1" t="str">
        <x:v>Yes</x:v>
      </x:c>
      <x:c r="U66" s="1" t="str">
        <x:v>Completed</x:v>
      </x:c>
    </x:row>
    <x:row r="67">
      <x:c r="A67" s="1" t="str">
        <x:v>PUB-0066</x:v>
      </x:c>
      <x:c r="B67" s="5" t="n">
        <x:v>46048</x:v>
      </x:c>
      <x:c r="C67" s="5" t="n">
        <x:v>46058</x:v>
      </x:c>
      <x:c r="D67" s="5" t="str"/>
      <x:c r="E67" s="1" t="str">
        <x:v>Production</x:v>
      </x:c>
      <x:c r="F67" s="1" t="str">
        <x:v>Assessment</x:v>
      </x:c>
      <x:c r="G67" s="1" t="str">
        <x:v>Low</x:v>
      </x:c>
      <x:c r="H67" s="1" t="str">
        <x:v>Manual</x:v>
      </x:c>
      <x:c r="I67" s="1" t="str">
        <x:v>Manual / NA</x:v>
      </x:c>
      <x:c r="J67" s="1" t="n">
        <x:v>41</x:v>
      </x:c>
      <x:c r="K67" s="6" t="n">
        <x:v>17.5</x:v>
      </x:c>
      <x:c r="L67" s="6" t="n">
        <x:v>18.2</x:v>
      </x:c>
      <x:c r="M67" s="6" t="n">
        <x:v>0.7</x:v>
      </x:c>
      <x:c r="N67" s="6" t="n">
        <x:v>11445.86</x:v>
      </x:c>
      <x:c r="O67" s="6" t="n">
        <x:v>11931.48</x:v>
      </x:c>
      <x:c r="P67" s="6" t="n">
        <x:v>485.62</x:v>
      </x:c>
      <x:c r="Q67" s="1" t="n">
        <x:v>0</x:v>
      </x:c>
      <x:c r="R67" s="1" t="str"/>
      <x:c r="S67" s="7" t="n">
        <x:v>99</x:v>
      </x:c>
      <x:c r="T67" s="1" t="str"/>
      <x:c r="U67" s="1" t="str">
        <x:v>In Progress</x:v>
      </x:c>
    </x:row>
    <x:row r="68">
      <x:c r="A68" s="1" t="str">
        <x:v>PUB-0067</x:v>
      </x:c>
      <x:c r="B68" s="5" t="n">
        <x:v>46166</x:v>
      </x:c>
      <x:c r="C68" s="5" t="n">
        <x:v>46178</x:v>
      </x:c>
      <x:c r="D68" s="5" t="n">
        <x:v>46170</x:v>
      </x:c>
      <x:c r="E68" s="1" t="str">
        <x:v>Digital Learning</x:v>
      </x:c>
      <x:c r="F68" s="1" t="str">
        <x:v>E-book</x:v>
      </x:c>
      <x:c r="G68" s="1" t="str">
        <x:v>Medium</x:v>
      </x:c>
      <x:c r="H68" s="1" t="str">
        <x:v>Manual</x:v>
      </x:c>
      <x:c r="I68" s="1" t="str">
        <x:v>Manual / NA</x:v>
      </x:c>
      <x:c r="J68" s="1" t="n">
        <x:v>66</x:v>
      </x:c>
      <x:c r="K68" s="6" t="n">
        <x:v>29.1</x:v>
      </x:c>
      <x:c r="L68" s="6" t="n">
        <x:v>28.9</x:v>
      </x:c>
      <x:c r="M68" s="6" t="n">
        <x:v>0</x:v>
      </x:c>
      <x:c r="N68" s="6" t="n">
        <x:v>27948.97</x:v>
      </x:c>
      <x:c r="O68" s="6" t="n">
        <x:v>27733.54</x:v>
      </x:c>
      <x:c r="P68" s="6" t="n">
        <x:v>0</x:v>
      </x:c>
      <x:c r="Q68" s="1" t="n">
        <x:v>0</x:v>
      </x:c>
      <x:c r="R68" s="1" t="str">
        <x:v>Yes</x:v>
      </x:c>
      <x:c r="S68" s="7" t="n">
        <x:v>83.5</x:v>
      </x:c>
      <x:c r="T68" s="1" t="str">
        <x:v>Yes</x:v>
      </x:c>
      <x:c r="U68" s="1" t="str">
        <x:v>Completed</x:v>
      </x:c>
    </x:row>
    <x:row r="69">
      <x:c r="A69" s="1" t="str">
        <x:v>PUB-0068</x:v>
      </x:c>
      <x:c r="B69" s="5" t="n">
        <x:v>45698</x:v>
      </x:c>
      <x:c r="C69" s="5" t="n">
        <x:v>45704</x:v>
      </x:c>
      <x:c r="D69" s="5" t="n">
        <x:v>45699</x:v>
      </x:c>
      <x:c r="E69" s="1" t="str">
        <x:v>Editorial</x:v>
      </x:c>
      <x:c r="F69" s="1" t="str">
        <x:v>Workbook</x:v>
      </x:c>
      <x:c r="G69" s="1" t="str">
        <x:v>High</x:v>
      </x:c>
      <x:c r="H69" s="1" t="str">
        <x:v>AI-Assisted</x:v>
      </x:c>
      <x:c r="I69" s="1" t="str">
        <x:v>Editorial QA</x:v>
      </x:c>
      <x:c r="J69" s="1" t="n">
        <x:v>31</x:v>
      </x:c>
      <x:c r="K69" s="6" t="n">
        <x:v>10.2</x:v>
      </x:c>
      <x:c r="L69" s="6" t="n">
        <x:v>17.7</x:v>
      </x:c>
      <x:c r="M69" s="6" t="n">
        <x:v>7.5</x:v>
      </x:c>
      <x:c r="N69" s="6" t="n">
        <x:v>7654.05</x:v>
      </x:c>
      <x:c r="O69" s="6" t="n">
        <x:v>13261.37</x:v>
      </x:c>
      <x:c r="P69" s="6" t="n">
        <x:v>5607.32</x:v>
      </x:c>
      <x:c r="Q69" s="1" t="n">
        <x:v>0</x:v>
      </x:c>
      <x:c r="R69" s="1" t="str">
        <x:v>Yes</x:v>
      </x:c>
      <x:c r="S69" s="7" t="n">
        <x:v>81.1</x:v>
      </x:c>
      <x:c r="T69" s="1" t="str">
        <x:v>Yes</x:v>
      </x:c>
      <x:c r="U69" s="1" t="str">
        <x:v>Completed</x:v>
      </x:c>
    </x:row>
    <x:row r="70">
      <x:c r="A70" s="1" t="str">
        <x:v>PUB-0069</x:v>
      </x:c>
      <x:c r="B70" s="5" t="n">
        <x:v>45937</x:v>
      </x:c>
      <x:c r="C70" s="5" t="n">
        <x:v>45950</x:v>
      </x:c>
      <x:c r="D70" s="5" t="n">
        <x:v>45947</x:v>
      </x:c>
      <x:c r="E70" s="1" t="str">
        <x:v>Digital Learning</x:v>
      </x:c>
      <x:c r="F70" s="1" t="str">
        <x:v>Workbook</x:v>
      </x:c>
      <x:c r="G70" s="1" t="str">
        <x:v>High</x:v>
      </x:c>
      <x:c r="H70" s="1" t="str">
        <x:v>Manual</x:v>
      </x:c>
      <x:c r="I70" s="1" t="str">
        <x:v>Manual / NA</x:v>
      </x:c>
      <x:c r="J70" s="1" t="n">
        <x:v>131</x:v>
      </x:c>
      <x:c r="K70" s="6" t="n">
        <x:v>77.5</x:v>
      </x:c>
      <x:c r="L70" s="6" t="n">
        <x:v>73.5</x:v>
      </x:c>
      <x:c r="M70" s="6" t="n">
        <x:v>0</x:v>
      </x:c>
      <x:c r="N70" s="6" t="n">
        <x:v>81539.01</x:v>
      </x:c>
      <x:c r="O70" s="6" t="n">
        <x:v>77308.55</x:v>
      </x:c>
      <x:c r="P70" s="6" t="n">
        <x:v>0</x:v>
      </x:c>
      <x:c r="Q70" s="1" t="n">
        <x:v>0</x:v>
      </x:c>
      <x:c r="R70" s="1" t="str">
        <x:v>Yes</x:v>
      </x:c>
      <x:c r="S70" s="7" t="n">
        <x:v>93.2</x:v>
      </x:c>
      <x:c r="T70" s="1" t="str">
        <x:v>Yes</x:v>
      </x:c>
      <x:c r="U70" s="1" t="str">
        <x:v>Completed</x:v>
      </x:c>
    </x:row>
    <x:row r="71">
      <x:c r="A71" s="1" t="str">
        <x:v>PUB-0070</x:v>
      </x:c>
      <x:c r="B71" s="5" t="n">
        <x:v>46064</x:v>
      </x:c>
      <x:c r="C71" s="5" t="n">
        <x:v>46071</x:v>
      </x:c>
      <x:c r="D71" s="5" t="str"/>
      <x:c r="E71" s="1" t="str">
        <x:v>Digital Learning</x:v>
      </x:c>
      <x:c r="F71" s="1" t="str">
        <x:v>Illustration</x:v>
      </x:c>
      <x:c r="G71" s="1" t="str">
        <x:v>Low</x:v>
      </x:c>
      <x:c r="H71" s="1" t="str">
        <x:v>AI-Assisted</x:v>
      </x:c>
      <x:c r="I71" s="1" t="str">
        <x:v>Editorial QA</x:v>
      </x:c>
      <x:c r="J71" s="1" t="n">
        <x:v>5</x:v>
      </x:c>
      <x:c r="K71" s="6" t="n">
        <x:v>0.9</x:v>
      </x:c>
      <x:c r="L71" s="6" t="n">
        <x:v>1.6</x:v>
      </x:c>
      <x:c r="M71" s="6" t="n">
        <x:v>0.7</x:v>
      </x:c>
      <x:c r="N71" s="6" t="n">
        <x:v>922.06</x:v>
      </x:c>
      <x:c r="O71" s="6" t="n">
        <x:v>1626.38</x:v>
      </x:c>
      <x:c r="P71" s="6" t="n">
        <x:v>704.32</x:v>
      </x:c>
      <x:c r="Q71" s="1" t="n">
        <x:v>0</x:v>
      </x:c>
      <x:c r="R71" s="1" t="str"/>
      <x:c r="S71" s="7" t="n">
        <x:v>93.2</x:v>
      </x:c>
      <x:c r="T71" s="1" t="str"/>
      <x:c r="U71" s="1" t="str">
        <x:v>In Review</x:v>
      </x:c>
    </x:row>
    <x:row r="72">
      <x:c r="A72" s="1" t="str">
        <x:v>PUB-0071</x:v>
      </x:c>
      <x:c r="B72" s="5" t="n">
        <x:v>45768</x:v>
      </x:c>
      <x:c r="C72" s="5" t="n">
        <x:v>45778</x:v>
      </x:c>
      <x:c r="D72" s="5" t="str"/>
      <x:c r="E72" s="1" t="str">
        <x:v>Production</x:v>
      </x:c>
      <x:c r="F72" s="1" t="str">
        <x:v>Workbook</x:v>
      </x:c>
      <x:c r="G72" s="1" t="str">
        <x:v>High</x:v>
      </x:c>
      <x:c r="H72" s="1" t="str">
        <x:v>AI-Assisted</x:v>
      </x:c>
      <x:c r="I72" s="1" t="str">
        <x:v>Visual Brief</x:v>
      </x:c>
      <x:c r="J72" s="1" t="n">
        <x:v>91</x:v>
      </x:c>
      <x:c r="K72" s="6" t="n">
        <x:v>24.3</x:v>
      </x:c>
      <x:c r="L72" s="6" t="n">
        <x:v>49.1</x:v>
      </x:c>
      <x:c r="M72" s="6" t="n">
        <x:v>24.8</x:v>
      </x:c>
      <x:c r="N72" s="6" t="n">
        <x:v>25804.84</x:v>
      </x:c>
      <x:c r="O72" s="6" t="n">
        <x:v>52133.36</x:v>
      </x:c>
      <x:c r="P72" s="6" t="n">
        <x:v>26328.52</x:v>
      </x:c>
      <x:c r="Q72" s="1" t="n">
        <x:v>0</x:v>
      </x:c>
      <x:c r="R72" s="1" t="str"/>
      <x:c r="S72" s="7" t="n">
        <x:v>87.2</x:v>
      </x:c>
      <x:c r="T72" s="1" t="str"/>
      <x:c r="U72" s="1" t="str">
        <x:v>In Review</x:v>
      </x:c>
    </x:row>
    <x:row r="73">
      <x:c r="A73" s="1" t="str">
        <x:v>PUB-0072</x:v>
      </x:c>
      <x:c r="B73" s="5" t="n">
        <x:v>45969</x:v>
      </x:c>
      <x:c r="C73" s="5" t="n">
        <x:v>45983</x:v>
      </x:c>
      <x:c r="D73" s="5" t="n">
        <x:v>45974</x:v>
      </x:c>
      <x:c r="E73" s="1" t="str">
        <x:v>Digital Learning</x:v>
      </x:c>
      <x:c r="F73" s="1" t="str">
        <x:v>School Textbook</x:v>
      </x:c>
      <x:c r="G73" s="1" t="str">
        <x:v>Medium</x:v>
      </x:c>
      <x:c r="H73" s="1" t="str">
        <x:v>AI-Assisted</x:v>
      </x:c>
      <x:c r="I73" s="1" t="str">
        <x:v>Few-shot v2</x:v>
      </x:c>
      <x:c r="J73" s="1" t="n">
        <x:v>107</x:v>
      </x:c>
      <x:c r="K73" s="6" t="n">
        <x:v>35.8</x:v>
      </x:c>
      <x:c r="L73" s="6" t="n">
        <x:v>54.3</x:v>
      </x:c>
      <x:c r="M73" s="6" t="n">
        <x:v>18.5</x:v>
      </x:c>
      <x:c r="N73" s="6" t="n">
        <x:v>40202.94</x:v>
      </x:c>
      <x:c r="O73" s="6" t="n">
        <x:v>60981.84</x:v>
      </x:c>
      <x:c r="P73" s="6" t="n">
        <x:v>20778.9</x:v>
      </x:c>
      <x:c r="Q73" s="1" t="n">
        <x:v>0</x:v>
      </x:c>
      <x:c r="R73" s="1" t="str">
        <x:v>Yes</x:v>
      </x:c>
      <x:c r="S73" s="7" t="n">
        <x:v>94.3</x:v>
      </x:c>
      <x:c r="T73" s="1" t="str">
        <x:v>Yes</x:v>
      </x:c>
      <x:c r="U73" s="1" t="str">
        <x:v>Completed</x:v>
      </x:c>
    </x:row>
    <x:row r="74">
      <x:c r="A74" s="1" t="str">
        <x:v>PUB-0073</x:v>
      </x:c>
      <x:c r="B74" s="5" t="n">
        <x:v>46082</x:v>
      </x:c>
      <x:c r="C74" s="5" t="n">
        <x:v>46090</x:v>
      </x:c>
      <x:c r="D74" s="5" t="n">
        <x:v>46083</x:v>
      </x:c>
      <x:c r="E74" s="1" t="str">
        <x:v>Production</x:v>
      </x:c>
      <x:c r="F74" s="1" t="str">
        <x:v>Illustration</x:v>
      </x:c>
      <x:c r="G74" s="1" t="str">
        <x:v>Low</x:v>
      </x:c>
      <x:c r="H74" s="1" t="str">
        <x:v>AI-Assisted</x:v>
      </x:c>
      <x:c r="I74" s="1" t="str">
        <x:v>Visual Brief</x:v>
      </x:c>
      <x:c r="J74" s="1" t="n">
        <x:v>39</x:v>
      </x:c>
      <x:c r="K74" s="6" t="n">
        <x:v>8.3</x:v>
      </x:c>
      <x:c r="L74" s="6" t="n">
        <x:v>14.1</x:v>
      </x:c>
      <x:c r="M74" s="6" t="n">
        <x:v>5.8</x:v>
      </x:c>
      <x:c r="N74" s="6" t="n">
        <x:v>9339.8</x:v>
      </x:c>
      <x:c r="O74" s="6" t="n">
        <x:v>15888.58</x:v>
      </x:c>
      <x:c r="P74" s="6" t="n">
        <x:v>6548.78</x:v>
      </x:c>
      <x:c r="Q74" s="1" t="n">
        <x:v>0</x:v>
      </x:c>
      <x:c r="R74" s="1" t="str">
        <x:v>Yes</x:v>
      </x:c>
      <x:c r="S74" s="7" t="n">
        <x:v>95.8</x:v>
      </x:c>
      <x:c r="T74" s="1" t="str">
        <x:v>Yes</x:v>
      </x:c>
      <x:c r="U74" s="1" t="str">
        <x:v>Completed</x:v>
      </x:c>
    </x:row>
    <x:row r="75">
      <x:c r="A75" s="1" t="str">
        <x:v>PUB-0074</x:v>
      </x:c>
      <x:c r="B75" s="5" t="n">
        <x:v>46065</x:v>
      </x:c>
      <x:c r="C75" s="5" t="n">
        <x:v>46083</x:v>
      </x:c>
      <x:c r="D75" s="5" t="n">
        <x:v>46082</x:v>
      </x:c>
      <x:c r="E75" s="1" t="str">
        <x:v>Editorial</x:v>
      </x:c>
      <x:c r="F75" s="1" t="str">
        <x:v>E-book</x:v>
      </x:c>
      <x:c r="G75" s="1" t="str">
        <x:v>Medium</x:v>
      </x:c>
      <x:c r="H75" s="1" t="str">
        <x:v>Manual</x:v>
      </x:c>
      <x:c r="I75" s="1" t="str">
        <x:v>Manual / NA</x:v>
      </x:c>
      <x:c r="J75" s="1" t="n">
        <x:v>218</x:v>
      </x:c>
      <x:c r="K75" s="6" t="n">
        <x:v>111.2</x:v>
      </x:c>
      <x:c r="L75" s="6" t="n">
        <x:v>110.3</x:v>
      </x:c>
      <x:c r="M75" s="6" t="n">
        <x:v>0</x:v>
      </x:c>
      <x:c r="N75" s="6" t="n">
        <x:v>105481.32</x:v>
      </x:c>
      <x:c r="O75" s="6" t="n">
        <x:v>104595.72</x:v>
      </x:c>
      <x:c r="P75" s="6" t="n">
        <x:v>0</x:v>
      </x:c>
      <x:c r="Q75" s="1" t="n">
        <x:v>2</x:v>
      </x:c>
      <x:c r="R75" s="1" t="str">
        <x:v>No</x:v>
      </x:c>
      <x:c r="S75" s="7" t="n">
        <x:v>86.7</x:v>
      </x:c>
      <x:c r="T75" s="1" t="str">
        <x:v>Yes</x:v>
      </x:c>
      <x:c r="U75" s="1" t="str">
        <x:v>Completed</x:v>
      </x:c>
    </x:row>
    <x:row r="76">
      <x:c r="A76" s="1" t="str">
        <x:v>PUB-0075</x:v>
      </x:c>
      <x:c r="B76" s="5" t="n">
        <x:v>45868</x:v>
      </x:c>
      <x:c r="C76" s="5" t="n">
        <x:v>45874</x:v>
      </x:c>
      <x:c r="D76" s="5" t="n">
        <x:v>45869</x:v>
      </x:c>
      <x:c r="E76" s="1" t="str">
        <x:v>Editorial</x:v>
      </x:c>
      <x:c r="F76" s="1" t="str">
        <x:v>Illustration</x:v>
      </x:c>
      <x:c r="G76" s="1" t="str">
        <x:v>Medium</x:v>
      </x:c>
      <x:c r="H76" s="1" t="str">
        <x:v>AI-Assisted</x:v>
      </x:c>
      <x:c r="I76" s="1" t="str">
        <x:v>Structured v3</x:v>
      </x:c>
      <x:c r="J76" s="1" t="n">
        <x:v>33</x:v>
      </x:c>
      <x:c r="K76" s="6" t="n">
        <x:v>9</x:v>
      </x:c>
      <x:c r="L76" s="6" t="n">
        <x:v>13</x:v>
      </x:c>
      <x:c r="M76" s="6" t="n">
        <x:v>4</x:v>
      </x:c>
      <x:c r="N76" s="6" t="n">
        <x:v>5862.76</x:v>
      </x:c>
      <x:c r="O76" s="6" t="n">
        <x:v>8436.67</x:v>
      </x:c>
      <x:c r="P76" s="6" t="n">
        <x:v>2573.91</x:v>
      </x:c>
      <x:c r="Q76" s="1" t="n">
        <x:v>0</x:v>
      </x:c>
      <x:c r="R76" s="1" t="str">
        <x:v>Yes</x:v>
      </x:c>
      <x:c r="S76" s="7" t="n">
        <x:v>90.8</x:v>
      </x:c>
      <x:c r="T76" s="1" t="str">
        <x:v>Yes</x:v>
      </x:c>
      <x:c r="U76" s="1" t="str">
        <x:v>Completed</x:v>
      </x:c>
    </x:row>
    <x:row r="77">
      <x:c r="A77" s="1" t="str">
        <x:v>PUB-0076</x:v>
      </x:c>
      <x:c r="B77" s="5" t="n">
        <x:v>45684</x:v>
      </x:c>
      <x:c r="C77" s="5" t="n">
        <x:v>45699</x:v>
      </x:c>
      <x:c r="D77" s="5" t="n">
        <x:v>45691</x:v>
      </x:c>
      <x:c r="E77" s="1" t="str">
        <x:v>Editorial</x:v>
      </x:c>
      <x:c r="F77" s="1" t="str">
        <x:v>Workbook</x:v>
      </x:c>
      <x:c r="G77" s="1" t="str">
        <x:v>Medium</x:v>
      </x:c>
      <x:c r="H77" s="1" t="str">
        <x:v>Manual</x:v>
      </x:c>
      <x:c r="I77" s="1" t="str">
        <x:v>Manual / NA</x:v>
      </x:c>
      <x:c r="J77" s="1" t="n">
        <x:v>158</x:v>
      </x:c>
      <x:c r="K77" s="6" t="n">
        <x:v>56</x:v>
      </x:c>
      <x:c r="L77" s="6" t="n">
        <x:v>62.9</x:v>
      </x:c>
      <x:c r="M77" s="6" t="n">
        <x:v>6.9</x:v>
      </x:c>
      <x:c r="N77" s="6" t="n">
        <x:v>57168.11</x:v>
      </x:c>
      <x:c r="O77" s="6" t="n">
        <x:v>64249.6</x:v>
      </x:c>
      <x:c r="P77" s="6" t="n">
        <x:v>7081.49</x:v>
      </x:c>
      <x:c r="Q77" s="1" t="n">
        <x:v>0</x:v>
      </x:c>
      <x:c r="R77" s="1" t="str">
        <x:v>Yes</x:v>
      </x:c>
      <x:c r="S77" s="7" t="n">
        <x:v>87.3</x:v>
      </x:c>
      <x:c r="T77" s="1" t="str">
        <x:v>Yes</x:v>
      </x:c>
      <x:c r="U77" s="1" t="str">
        <x:v>Completed</x:v>
      </x:c>
    </x:row>
    <x:row r="78">
      <x:c r="A78" s="1" t="str">
        <x:v>PUB-0077</x:v>
      </x:c>
      <x:c r="B78" s="5" t="n">
        <x:v>46028</x:v>
      </x:c>
      <x:c r="C78" s="5" t="n">
        <x:v>46038</x:v>
      </x:c>
      <x:c r="D78" s="5" t="n">
        <x:v>46029</x:v>
      </x:c>
      <x:c r="E78" s="1" t="str">
        <x:v>Design</x:v>
      </x:c>
      <x:c r="F78" s="1" t="str">
        <x:v>School Textbook</x:v>
      </x:c>
      <x:c r="G78" s="1" t="str">
        <x:v>Medium</x:v>
      </x:c>
      <x:c r="H78" s="1" t="str">
        <x:v>AI-Assisted</x:v>
      </x:c>
      <x:c r="I78" s="1" t="str">
        <x:v>Visual Brief</x:v>
      </x:c>
      <x:c r="J78" s="1" t="n">
        <x:v>19</x:v>
      </x:c>
      <x:c r="K78" s="6" t="n">
        <x:v>6.8</x:v>
      </x:c>
      <x:c r="L78" s="6" t="n">
        <x:v>10.6</x:v>
      </x:c>
      <x:c r="M78" s="6" t="n">
        <x:v>3.8</x:v>
      </x:c>
      <x:c r="N78" s="6" t="n">
        <x:v>5445.54</x:v>
      </x:c>
      <x:c r="O78" s="6" t="n">
        <x:v>8519.54</x:v>
      </x:c>
      <x:c r="P78" s="6" t="n">
        <x:v>3074</x:v>
      </x:c>
      <x:c r="Q78" s="1" t="n">
        <x:v>0</x:v>
      </x:c>
      <x:c r="R78" s="1" t="str">
        <x:v>Yes</x:v>
      </x:c>
      <x:c r="S78" s="7" t="n">
        <x:v>99</x:v>
      </x:c>
      <x:c r="T78" s="1" t="str">
        <x:v>Yes</x:v>
      </x:c>
      <x:c r="U78" s="1" t="str">
        <x:v>Completed</x:v>
      </x:c>
    </x:row>
    <x:row r="79">
      <x:c r="A79" s="1" t="str">
        <x:v>PUB-0078</x:v>
      </x:c>
      <x:c r="B79" s="5" t="n">
        <x:v>45768</x:v>
      </x:c>
      <x:c r="C79" s="5" t="n">
        <x:v>45780</x:v>
      </x:c>
      <x:c r="D79" s="5" t="n">
        <x:v>45772</x:v>
      </x:c>
      <x:c r="E79" s="1" t="str">
        <x:v>Design</x:v>
      </x:c>
      <x:c r="F79" s="1" t="str">
        <x:v>E-book</x:v>
      </x:c>
      <x:c r="G79" s="1" t="str">
        <x:v>Low</x:v>
      </x:c>
      <x:c r="H79" s="1" t="str">
        <x:v>AI-Assisted</x:v>
      </x:c>
      <x:c r="I79" s="1" t="str">
        <x:v>Structured v3</x:v>
      </x:c>
      <x:c r="J79" s="1" t="n">
        <x:v>163</x:v>
      </x:c>
      <x:c r="K79" s="6" t="n">
        <x:v>32.6</x:v>
      </x:c>
      <x:c r="L79" s="6" t="n">
        <x:v>51.8</x:v>
      </x:c>
      <x:c r="M79" s="6" t="n">
        <x:v>19.2</x:v>
      </x:c>
      <x:c r="N79" s="6" t="n">
        <x:v>30731.44</x:v>
      </x:c>
      <x:c r="O79" s="6" t="n">
        <x:v>48857.61</x:v>
      </x:c>
      <x:c r="P79" s="6" t="n">
        <x:v>18126.17</x:v>
      </x:c>
      <x:c r="Q79" s="1" t="n">
        <x:v>0</x:v>
      </x:c>
      <x:c r="R79" s="1" t="str">
        <x:v>Yes</x:v>
      </x:c>
      <x:c r="S79" s="7" t="n">
        <x:v>92.9</x:v>
      </x:c>
      <x:c r="T79" s="1" t="str">
        <x:v>Yes</x:v>
      </x:c>
      <x:c r="U79" s="1" t="str">
        <x:v>Completed</x:v>
      </x:c>
    </x:row>
    <x:row r="80">
      <x:c r="A80" s="1" t="str">
        <x:v>PUB-0079</x:v>
      </x:c>
      <x:c r="B80" s="5" t="n">
        <x:v>46122</x:v>
      </x:c>
      <x:c r="C80" s="5" t="n">
        <x:v>46130</x:v>
      </x:c>
      <x:c r="D80" s="5" t="n">
        <x:v>46127</x:v>
      </x:c>
      <x:c r="E80" s="1" t="str">
        <x:v>Design</x:v>
      </x:c>
      <x:c r="F80" s="1" t="str">
        <x:v>Workbook</x:v>
      </x:c>
      <x:c r="G80" s="1" t="str">
        <x:v>High</x:v>
      </x:c>
      <x:c r="H80" s="1" t="str">
        <x:v>Manual</x:v>
      </x:c>
      <x:c r="I80" s="1" t="str">
        <x:v>Manual / NA</x:v>
      </x:c>
      <x:c r="J80" s="1" t="n">
        <x:v>37</x:v>
      </x:c>
      <x:c r="K80" s="6" t="n">
        <x:v>25.4</x:v>
      </x:c>
      <x:c r="L80" s="6" t="n">
        <x:v>24.6</x:v>
      </x:c>
      <x:c r="M80" s="6" t="n">
        <x:v>0</x:v>
      </x:c>
      <x:c r="N80" s="6" t="n">
        <x:v>25664.67</x:v>
      </x:c>
      <x:c r="O80" s="6" t="n">
        <x:v>24832.45</x:v>
      </x:c>
      <x:c r="P80" s="6" t="n">
        <x:v>0</x:v>
      </x:c>
      <x:c r="Q80" s="1" t="n">
        <x:v>1</x:v>
      </x:c>
      <x:c r="R80" s="1" t="str">
        <x:v>No</x:v>
      </x:c>
      <x:c r="S80" s="7" t="n">
        <x:v>84.1</x:v>
      </x:c>
      <x:c r="T80" s="1" t="str">
        <x:v>Yes</x:v>
      </x:c>
      <x:c r="U80" s="1" t="str">
        <x:v>Completed</x:v>
      </x:c>
    </x:row>
    <x:row r="81">
      <x:c r="A81" s="1" t="str">
        <x:v>PUB-0080</x:v>
      </x:c>
      <x:c r="B81" s="5" t="n">
        <x:v>45755</x:v>
      </x:c>
      <x:c r="C81" s="5" t="n">
        <x:v>45775</x:v>
      </x:c>
      <x:c r="D81" s="5" t="n">
        <x:v>45765</x:v>
      </x:c>
      <x:c r="E81" s="1" t="str">
        <x:v>Editorial</x:v>
      </x:c>
      <x:c r="F81" s="1" t="str">
        <x:v>Workbook</x:v>
      </x:c>
      <x:c r="G81" s="1" t="str">
        <x:v>High</x:v>
      </x:c>
      <x:c r="H81" s="1" t="str">
        <x:v>AI-Assisted</x:v>
      </x:c>
      <x:c r="I81" s="1" t="str">
        <x:v>Visual Brief</x:v>
      </x:c>
      <x:c r="J81" s="1" t="n">
        <x:v>183</x:v>
      </x:c>
      <x:c r="K81" s="6" t="n">
        <x:v>61.5</x:v>
      </x:c>
      <x:c r="L81" s="6" t="n">
        <x:v>90.5</x:v>
      </x:c>
      <x:c r="M81" s="6" t="n">
        <x:v>29</x:v>
      </x:c>
      <x:c r="N81" s="6" t="n">
        <x:v>42841.83</x:v>
      </x:c>
      <x:c r="O81" s="6" t="n">
        <x:v>63064.06</x:v>
      </x:c>
      <x:c r="P81" s="6" t="n">
        <x:v>20222.23</x:v>
      </x:c>
      <x:c r="Q81" s="1" t="n">
        <x:v>2</x:v>
      </x:c>
      <x:c r="R81" s="1" t="str">
        <x:v>No</x:v>
      </x:c>
      <x:c r="S81" s="7" t="n">
        <x:v>90.8</x:v>
      </x:c>
      <x:c r="T81" s="1" t="str">
        <x:v>Yes</x:v>
      </x:c>
      <x:c r="U81" s="1" t="str">
        <x:v>Completed</x:v>
      </x:c>
    </x:row>
    <x:row r="82">
      <x:c r="A82" s="1" t="str">
        <x:v>PUB-0081</x:v>
      </x:c>
      <x:c r="B82" s="5" t="n">
        <x:v>45995</x:v>
      </x:c>
      <x:c r="C82" s="5" t="n">
        <x:v>46013</x:v>
      </x:c>
      <x:c r="D82" s="5" t="n">
        <x:v>46008</x:v>
      </x:c>
      <x:c r="E82" s="1" t="str">
        <x:v>Production</x:v>
      </x:c>
      <x:c r="F82" s="1" t="str">
        <x:v>Workbook</x:v>
      </x:c>
      <x:c r="G82" s="1" t="str">
        <x:v>Medium</x:v>
      </x:c>
      <x:c r="H82" s="1" t="str">
        <x:v>Manual</x:v>
      </x:c>
      <x:c r="I82" s="1" t="str">
        <x:v>Manual / NA</x:v>
      </x:c>
      <x:c r="J82" s="1" t="n">
        <x:v>200</x:v>
      </x:c>
      <x:c r="K82" s="6" t="n">
        <x:v>100</x:v>
      </x:c>
      <x:c r="L82" s="6" t="n">
        <x:v>112.3</x:v>
      </x:c>
      <x:c r="M82" s="6" t="n">
        <x:v>12.3</x:v>
      </x:c>
      <x:c r="N82" s="6" t="n">
        <x:v>79381.47</x:v>
      </x:c>
      <x:c r="O82" s="6" t="n">
        <x:v>89143.11</x:v>
      </x:c>
      <x:c r="P82" s="6" t="n">
        <x:v>9761.64</x:v>
      </x:c>
      <x:c r="Q82" s="1" t="n">
        <x:v>0</x:v>
      </x:c>
      <x:c r="R82" s="1" t="str">
        <x:v>Yes</x:v>
      </x:c>
      <x:c r="S82" s="7" t="n">
        <x:v>90.2</x:v>
      </x:c>
      <x:c r="T82" s="1" t="str">
        <x:v>Yes</x:v>
      </x:c>
      <x:c r="U82" s="1" t="str">
        <x:v>Completed</x:v>
      </x:c>
    </x:row>
    <x:row r="83">
      <x:c r="A83" s="1" t="str">
        <x:v>PUB-0082</x:v>
      </x:c>
      <x:c r="B83" s="5" t="n">
        <x:v>45768</x:v>
      </x:c>
      <x:c r="C83" s="5" t="n">
        <x:v>45778</x:v>
      </x:c>
      <x:c r="D83" s="5" t="n">
        <x:v>45770</x:v>
      </x:c>
      <x:c r="E83" s="1" t="str">
        <x:v>Design</x:v>
      </x:c>
      <x:c r="F83" s="1" t="str">
        <x:v>Assessment</x:v>
      </x:c>
      <x:c r="G83" s="1" t="str">
        <x:v>High</x:v>
      </x:c>
      <x:c r="H83" s="1" t="str">
        <x:v>AI-Assisted</x:v>
      </x:c>
      <x:c r="I83" s="1" t="str">
        <x:v>Structured v3</x:v>
      </x:c>
      <x:c r="J83" s="1" t="n">
        <x:v>32</x:v>
      </x:c>
      <x:c r="K83" s="6" t="n">
        <x:v>16.5</x:v>
      </x:c>
      <x:c r="L83" s="6" t="n">
        <x:v>23.1</x:v>
      </x:c>
      <x:c r="M83" s="6" t="n">
        <x:v>6.6</x:v>
      </x:c>
      <x:c r="N83" s="6" t="n">
        <x:v>17477.02</x:v>
      </x:c>
      <x:c r="O83" s="6" t="n">
        <x:v>24425.73</x:v>
      </x:c>
      <x:c r="P83" s="6" t="n">
        <x:v>6948.71</x:v>
      </x:c>
      <x:c r="Q83" s="1" t="n">
        <x:v>0</x:v>
      </x:c>
      <x:c r="R83" s="1" t="str">
        <x:v>Yes</x:v>
      </x:c>
      <x:c r="S83" s="7" t="n">
        <x:v>93</x:v>
      </x:c>
      <x:c r="T83" s="1" t="str">
        <x:v>Yes</x:v>
      </x:c>
      <x:c r="U83" s="1" t="str">
        <x:v>Completed</x:v>
      </x:c>
    </x:row>
    <x:row r="84">
      <x:c r="A84" s="1" t="str">
        <x:v>PUB-0083</x:v>
      </x:c>
      <x:c r="B84" s="5" t="n">
        <x:v>45931</x:v>
      </x:c>
      <x:c r="C84" s="5" t="n">
        <x:v>45942</x:v>
      </x:c>
      <x:c r="D84" s="5" t="n">
        <x:v>45938</x:v>
      </x:c>
      <x:c r="E84" s="1" t="str">
        <x:v>Editorial</x:v>
      </x:c>
      <x:c r="F84" s="1" t="str">
        <x:v>Workbook</x:v>
      </x:c>
      <x:c r="G84" s="1" t="str">
        <x:v>Medium</x:v>
      </x:c>
      <x:c r="H84" s="1" t="str">
        <x:v>Manual</x:v>
      </x:c>
      <x:c r="I84" s="1" t="str">
        <x:v>Manual / NA</x:v>
      </x:c>
      <x:c r="J84" s="1" t="n">
        <x:v>94</x:v>
      </x:c>
      <x:c r="K84" s="6" t="n">
        <x:v>34.2</x:v>
      </x:c>
      <x:c r="L84" s="6" t="n">
        <x:v>37.6</x:v>
      </x:c>
      <x:c r="M84" s="6" t="n">
        <x:v>3.4</x:v>
      </x:c>
      <x:c r="N84" s="6" t="n">
        <x:v>33470.59</x:v>
      </x:c>
      <x:c r="O84" s="6" t="n">
        <x:v>36789.73</x:v>
      </x:c>
      <x:c r="P84" s="6" t="n">
        <x:v>3319.14</x:v>
      </x:c>
      <x:c r="Q84" s="1" t="n">
        <x:v>2</x:v>
      </x:c>
      <x:c r="R84" s="1" t="str">
        <x:v>No</x:v>
      </x:c>
      <x:c r="S84" s="7" t="n">
        <x:v>84.2</x:v>
      </x:c>
      <x:c r="T84" s="1" t="str">
        <x:v>Yes</x:v>
      </x:c>
      <x:c r="U84" s="1" t="str">
        <x:v>Completed</x:v>
      </x:c>
    </x:row>
    <x:row r="85">
      <x:c r="A85" s="1" t="str">
        <x:v>PUB-0084</x:v>
      </x:c>
      <x:c r="B85" s="5" t="n">
        <x:v>46122</x:v>
      </x:c>
      <x:c r="C85" s="5" t="n">
        <x:v>46142</x:v>
      </x:c>
      <x:c r="D85" s="5" t="n">
        <x:v>46141</x:v>
      </x:c>
      <x:c r="E85" s="1" t="str">
        <x:v>Design</x:v>
      </x:c>
      <x:c r="F85" s="1" t="str">
        <x:v>Workbook</x:v>
      </x:c>
      <x:c r="G85" s="1" t="str">
        <x:v>High</x:v>
      </x:c>
      <x:c r="H85" s="1" t="str">
        <x:v>Manual</x:v>
      </x:c>
      <x:c r="I85" s="1" t="str">
        <x:v>Manual / NA</x:v>
      </x:c>
      <x:c r="J85" s="1" t="n">
        <x:v>206</x:v>
      </x:c>
      <x:c r="K85" s="6" t="n">
        <x:v>141.1</x:v>
      </x:c>
      <x:c r="L85" s="6" t="n">
        <x:v>133.6</x:v>
      </x:c>
      <x:c r="M85" s="6" t="n">
        <x:v>0</x:v>
      </x:c>
      <x:c r="N85" s="6" t="n">
        <x:v>102691.16</x:v>
      </x:c>
      <x:c r="O85" s="6" t="n">
        <x:v>97202.71</x:v>
      </x:c>
      <x:c r="P85" s="6" t="n">
        <x:v>0</x:v>
      </x:c>
      <x:c r="Q85" s="1" t="n">
        <x:v>0</x:v>
      </x:c>
      <x:c r="R85" s="1" t="str">
        <x:v>Yes</x:v>
      </x:c>
      <x:c r="S85" s="7" t="n">
        <x:v>84.6</x:v>
      </x:c>
      <x:c r="T85" s="1" t="str">
        <x:v>Yes</x:v>
      </x:c>
      <x:c r="U85" s="1" t="str">
        <x:v>Completed</x:v>
      </x:c>
    </x:row>
    <x:row r="86">
      <x:c r="A86" s="1" t="str">
        <x:v>PUB-0085</x:v>
      </x:c>
      <x:c r="B86" s="5" t="n">
        <x:v>46111</x:v>
      </x:c>
      <x:c r="C86" s="5" t="n">
        <x:v>46126</x:v>
      </x:c>
      <x:c r="D86" s="5" t="str"/>
      <x:c r="E86" s="1" t="str">
        <x:v>Production</x:v>
      </x:c>
      <x:c r="F86" s="1" t="str">
        <x:v>Workbook</x:v>
      </x:c>
      <x:c r="G86" s="1" t="str">
        <x:v>Medium</x:v>
      </x:c>
      <x:c r="H86" s="1" t="str">
        <x:v>AI-Assisted</x:v>
      </x:c>
      <x:c r="I86" s="1" t="str">
        <x:v>Structured v3</x:v>
      </x:c>
      <x:c r="J86" s="1" t="n">
        <x:v>201</x:v>
      </x:c>
      <x:c r="K86" s="6" t="n">
        <x:v>44.4</x:v>
      </x:c>
      <x:c r="L86" s="6" t="n">
        <x:v>87.6</x:v>
      </x:c>
      <x:c r="M86" s="6" t="n">
        <x:v>43.2</x:v>
      </x:c>
      <x:c r="N86" s="6" t="n">
        <x:v>43916.44</x:v>
      </x:c>
      <x:c r="O86" s="6" t="n">
        <x:v>86669.23</x:v>
      </x:c>
      <x:c r="P86" s="6" t="n">
        <x:v>42752.79</x:v>
      </x:c>
      <x:c r="Q86" s="1" t="n">
        <x:v>0</x:v>
      </x:c>
      <x:c r="R86" s="1" t="str"/>
      <x:c r="S86" s="7" t="n">
        <x:v>84.3</x:v>
      </x:c>
      <x:c r="T86" s="1" t="str"/>
      <x:c r="U86" s="1" t="str">
        <x:v>In Progress</x:v>
      </x:c>
    </x:row>
    <x:row r="87">
      <x:c r="A87" s="1" t="str">
        <x:v>PUB-0086</x:v>
      </x:c>
      <x:c r="B87" s="5" t="n">
        <x:v>45714</x:v>
      </x:c>
      <x:c r="C87" s="5" t="n">
        <x:v>45724</x:v>
      </x:c>
      <x:c r="D87" s="5" t="n">
        <x:v>45716</x:v>
      </x:c>
      <x:c r="E87" s="1" t="str">
        <x:v>Editorial</x:v>
      </x:c>
      <x:c r="F87" s="1" t="str">
        <x:v>Workbook</x:v>
      </x:c>
      <x:c r="G87" s="1" t="str">
        <x:v>Medium</x:v>
      </x:c>
      <x:c r="H87" s="1" t="str">
        <x:v>AI-Assisted</x:v>
      </x:c>
      <x:c r="I87" s="1" t="str">
        <x:v>Structured v3</x:v>
      </x:c>
      <x:c r="J87" s="1" t="n">
        <x:v>73</x:v>
      </x:c>
      <x:c r="K87" s="6" t="n">
        <x:v>16.9</x:v>
      </x:c>
      <x:c r="L87" s="6" t="n">
        <x:v>28.2</x:v>
      </x:c>
      <x:c r="M87" s="6" t="n">
        <x:v>11.3</x:v>
      </x:c>
      <x:c r="N87" s="6" t="n">
        <x:v>14624.03</x:v>
      </x:c>
      <x:c r="O87" s="6" t="n">
        <x:v>24408.25</x:v>
      </x:c>
      <x:c r="P87" s="6" t="n">
        <x:v>9784.22</x:v>
      </x:c>
      <x:c r="Q87" s="1" t="n">
        <x:v>0</x:v>
      </x:c>
      <x:c r="R87" s="1" t="str">
        <x:v>Yes</x:v>
      </x:c>
      <x:c r="S87" s="7" t="n">
        <x:v>88.2</x:v>
      </x:c>
      <x:c r="T87" s="1" t="str">
        <x:v>Yes</x:v>
      </x:c>
      <x:c r="U87" s="1" t="str">
        <x:v>Completed</x:v>
      </x:c>
    </x:row>
    <x:row r="88">
      <x:c r="A88" s="1" t="str">
        <x:v>PUB-0087</x:v>
      </x:c>
      <x:c r="B88" s="5" t="n">
        <x:v>46020</x:v>
      </x:c>
      <x:c r="C88" s="5" t="n">
        <x:v>46026</x:v>
      </x:c>
      <x:c r="D88" s="5" t="n">
        <x:v>46021</x:v>
      </x:c>
      <x:c r="E88" s="1" t="str">
        <x:v>Editorial</x:v>
      </x:c>
      <x:c r="F88" s="1" t="str">
        <x:v>E-book</x:v>
      </x:c>
      <x:c r="G88" s="1" t="str">
        <x:v>High</x:v>
      </x:c>
      <x:c r="H88" s="1" t="str">
        <x:v>AI-Assisted</x:v>
      </x:c>
      <x:c r="I88" s="1" t="str">
        <x:v>Structured v3</x:v>
      </x:c>
      <x:c r="J88" s="1" t="n">
        <x:v>27</x:v>
      </x:c>
      <x:c r="K88" s="6" t="n">
        <x:v>10.7</x:v>
      </x:c>
      <x:c r="L88" s="6" t="n">
        <x:v>17.3</x:v>
      </x:c>
      <x:c r="M88" s="6" t="n">
        <x:v>6.6</x:v>
      </x:c>
      <x:c r="N88" s="6" t="n">
        <x:v>10750.82</x:v>
      </x:c>
      <x:c r="O88" s="6" t="n">
        <x:v>17427.19</x:v>
      </x:c>
      <x:c r="P88" s="6" t="n">
        <x:v>6676.37</x:v>
      </x:c>
      <x:c r="Q88" s="1" t="n">
        <x:v>0</x:v>
      </x:c>
      <x:c r="R88" s="1" t="str">
        <x:v>Yes</x:v>
      </x:c>
      <x:c r="S88" s="7" t="n">
        <x:v>89.8</x:v>
      </x:c>
      <x:c r="T88" s="1" t="str">
        <x:v>Yes</x:v>
      </x:c>
      <x:c r="U88" s="1" t="str">
        <x:v>Completed</x:v>
      </x:c>
    </x:row>
    <x:row r="89">
      <x:c r="A89" s="1" t="str">
        <x:v>PUB-0088</x:v>
      </x:c>
      <x:c r="B89" s="5" t="n">
        <x:v>46129</x:v>
      </x:c>
      <x:c r="C89" s="5" t="n">
        <x:v>46136</x:v>
      </x:c>
      <x:c r="D89" s="5" t="n">
        <x:v>46131</x:v>
      </x:c>
      <x:c r="E89" s="1" t="str">
        <x:v>Digital Learning</x:v>
      </x:c>
      <x:c r="F89" s="1" t="str">
        <x:v>E-book</x:v>
      </x:c>
      <x:c r="G89" s="1" t="str">
        <x:v>Medium</x:v>
      </x:c>
      <x:c r="H89" s="1" t="str">
        <x:v>AI-Assisted</x:v>
      </x:c>
      <x:c r="I89" s="1" t="str">
        <x:v>Visual Brief</x:v>
      </x:c>
      <x:c r="J89" s="1" t="n">
        <x:v>70</x:v>
      </x:c>
      <x:c r="K89" s="6" t="n">
        <x:v>15.6</x:v>
      </x:c>
      <x:c r="L89" s="6" t="n">
        <x:v>31.4</x:v>
      </x:c>
      <x:c r="M89" s="6" t="n">
        <x:v>15.8</x:v>
      </x:c>
      <x:c r="N89" s="6" t="n">
        <x:v>16930.09</x:v>
      </x:c>
      <x:c r="O89" s="6" t="n">
        <x:v>34041.34</x:v>
      </x:c>
      <x:c r="P89" s="6" t="n">
        <x:v>17111.25</x:v>
      </x:c>
      <x:c r="Q89" s="1" t="n">
        <x:v>0</x:v>
      </x:c>
      <x:c r="R89" s="1" t="str">
        <x:v>Yes</x:v>
      </x:c>
      <x:c r="S89" s="7" t="n">
        <x:v>89.7</x:v>
      </x:c>
      <x:c r="T89" s="1" t="str">
        <x:v>Yes</x:v>
      </x:c>
      <x:c r="U89" s="1" t="str">
        <x:v>Completed</x:v>
      </x:c>
    </x:row>
    <x:row r="90">
      <x:c r="A90" s="1" t="str">
        <x:v>PUB-0089</x:v>
      </x:c>
      <x:c r="B90" s="5" t="n">
        <x:v>45736</x:v>
      </x:c>
      <x:c r="C90" s="5" t="n">
        <x:v>45751</x:v>
      </x:c>
      <x:c r="D90" s="5" t="n">
        <x:v>45744</x:v>
      </x:c>
      <x:c r="E90" s="1" t="str">
        <x:v>Design</x:v>
      </x:c>
      <x:c r="F90" s="1" t="str">
        <x:v>School Textbook</x:v>
      </x:c>
      <x:c r="G90" s="1" t="str">
        <x:v>Medium</x:v>
      </x:c>
      <x:c r="H90" s="1" t="str">
        <x:v>AI-Assisted</x:v>
      </x:c>
      <x:c r="I90" s="1" t="str">
        <x:v>Visual Brief</x:v>
      </x:c>
      <x:c r="J90" s="1" t="n">
        <x:v>97</x:v>
      </x:c>
      <x:c r="K90" s="6" t="n">
        <x:v>35.2</x:v>
      </x:c>
      <x:c r="L90" s="6" t="n">
        <x:v>55.4</x:v>
      </x:c>
      <x:c r="M90" s="6" t="n">
        <x:v>20.2</x:v>
      </x:c>
      <x:c r="N90" s="6" t="n">
        <x:v>25479.34</x:v>
      </x:c>
      <x:c r="O90" s="6" t="n">
        <x:v>40078.2</x:v>
      </x:c>
      <x:c r="P90" s="6" t="n">
        <x:v>14598.86</x:v>
      </x:c>
      <x:c r="Q90" s="1" t="n">
        <x:v>1</x:v>
      </x:c>
      <x:c r="R90" s="1" t="str">
        <x:v>No</x:v>
      </x:c>
      <x:c r="S90" s="7" t="n">
        <x:v>88.9</x:v>
      </x:c>
      <x:c r="T90" s="1" t="str">
        <x:v>Yes</x:v>
      </x:c>
      <x:c r="U90" s="1" t="str">
        <x:v>Completed</x:v>
      </x:c>
    </x:row>
    <x:row r="91">
      <x:c r="A91" s="1" t="str">
        <x:v>PUB-0090</x:v>
      </x:c>
      <x:c r="B91" s="5" t="n">
        <x:v>46163</x:v>
      </x:c>
      <x:c r="C91" s="5" t="n">
        <x:v>46171</x:v>
      </x:c>
      <x:c r="D91" s="5" t="n">
        <x:v>46165</x:v>
      </x:c>
      <x:c r="E91" s="1" t="str">
        <x:v>Design</x:v>
      </x:c>
      <x:c r="F91" s="1" t="str">
        <x:v>Assessment</x:v>
      </x:c>
      <x:c r="G91" s="1" t="str">
        <x:v>High</x:v>
      </x:c>
      <x:c r="H91" s="1" t="str">
        <x:v>AI-Assisted</x:v>
      </x:c>
      <x:c r="I91" s="1" t="str">
        <x:v>Editorial QA</x:v>
      </x:c>
      <x:c r="J91" s="1" t="n">
        <x:v>45</x:v>
      </x:c>
      <x:c r="K91" s="6" t="n">
        <x:v>15.3</x:v>
      </x:c>
      <x:c r="L91" s="6" t="n">
        <x:v>29.6</x:v>
      </x:c>
      <x:c r="M91" s="6" t="n">
        <x:v>14.3</x:v>
      </x:c>
      <x:c r="N91" s="6" t="n">
        <x:v>10467.39</x:v>
      </x:c>
      <x:c r="O91" s="6" t="n">
        <x:v>20237.28</x:v>
      </x:c>
      <x:c r="P91" s="6" t="n">
        <x:v>9769.89</x:v>
      </x:c>
      <x:c r="Q91" s="1" t="n">
        <x:v>0</x:v>
      </x:c>
      <x:c r="R91" s="1" t="str">
        <x:v>Yes</x:v>
      </x:c>
      <x:c r="S91" s="7" t="n">
        <x:v>91.8</x:v>
      </x:c>
      <x:c r="T91" s="1" t="str">
        <x:v>Yes</x:v>
      </x:c>
      <x:c r="U91" s="1" t="str">
        <x:v>Completed</x:v>
      </x:c>
    </x:row>
    <x:row r="92">
      <x:c r="A92" s="1" t="str">
        <x:v>PUB-0091</x:v>
      </x:c>
      <x:c r="B92" s="5" t="n">
        <x:v>46018</x:v>
      </x:c>
      <x:c r="C92" s="5" t="n">
        <x:v>46041</x:v>
      </x:c>
      <x:c r="D92" s="5" t="str"/>
      <x:c r="E92" s="1" t="str">
        <x:v>Design</x:v>
      </x:c>
      <x:c r="F92" s="1" t="str">
        <x:v>Workbook</x:v>
      </x:c>
      <x:c r="G92" s="1" t="str">
        <x:v>Medium</x:v>
      </x:c>
      <x:c r="H92" s="1" t="str">
        <x:v>AI-Assisted</x:v>
      </x:c>
      <x:c r="I92" s="1" t="str">
        <x:v>Structured v3</x:v>
      </x:c>
      <x:c r="J92" s="1" t="n">
        <x:v>220</x:v>
      </x:c>
      <x:c r="K92" s="6" t="n">
        <x:v>78.9</x:v>
      </x:c>
      <x:c r="L92" s="6" t="n">
        <x:v>110.4</x:v>
      </x:c>
      <x:c r="M92" s="6" t="n">
        <x:v>31.5</x:v>
      </x:c>
      <x:c r="N92" s="6" t="n">
        <x:v>54847.2</x:v>
      </x:c>
      <x:c r="O92" s="6" t="n">
        <x:v>76745.66</x:v>
      </x:c>
      <x:c r="P92" s="6" t="n">
        <x:v>21898.46</x:v>
      </x:c>
      <x:c r="Q92" s="1" t="n">
        <x:v>0</x:v>
      </x:c>
      <x:c r="R92" s="1" t="str"/>
      <x:c r="S92" s="7" t="n">
        <x:v>83.6</x:v>
      </x:c>
      <x:c r="T92" s="1" t="str"/>
      <x:c r="U92" s="1" t="str">
        <x:v>In Review</x:v>
      </x:c>
    </x:row>
    <x:row r="93">
      <x:c r="A93" s="1" t="str">
        <x:v>PUB-0092</x:v>
      </x:c>
      <x:c r="B93" s="5" t="n">
        <x:v>46118</x:v>
      </x:c>
      <x:c r="C93" s="5" t="n">
        <x:v>46128</x:v>
      </x:c>
      <x:c r="D93" s="5" t="n">
        <x:v>46119</x:v>
      </x:c>
      <x:c r="E93" s="1" t="str">
        <x:v>Digital Learning</x:v>
      </x:c>
      <x:c r="F93" s="1" t="str">
        <x:v>Assessment</x:v>
      </x:c>
      <x:c r="G93" s="1" t="str">
        <x:v>Low</x:v>
      </x:c>
      <x:c r="H93" s="1" t="str">
        <x:v>AI-Assisted</x:v>
      </x:c>
      <x:c r="I93" s="1" t="str">
        <x:v>Editorial QA</x:v>
      </x:c>
      <x:c r="J93" s="1" t="n">
        <x:v>68</x:v>
      </x:c>
      <x:c r="K93" s="6" t="n">
        <x:v>10.5</x:v>
      </x:c>
      <x:c r="L93" s="6" t="n">
        <x:v>20.8</x:v>
      </x:c>
      <x:c r="M93" s="6" t="n">
        <x:v>10.3</x:v>
      </x:c>
      <x:c r="N93" s="6" t="n">
        <x:v>11545.42</x:v>
      </x:c>
      <x:c r="O93" s="6" t="n">
        <x:v>22906.78</x:v>
      </x:c>
      <x:c r="P93" s="6" t="n">
        <x:v>11361.36</x:v>
      </x:c>
      <x:c r="Q93" s="1" t="n">
        <x:v>0</x:v>
      </x:c>
      <x:c r="R93" s="1" t="str">
        <x:v>Yes</x:v>
      </x:c>
      <x:c r="S93" s="7" t="n">
        <x:v>93.8</x:v>
      </x:c>
      <x:c r="T93" s="1" t="str">
        <x:v>Yes</x:v>
      </x:c>
      <x:c r="U93" s="1" t="str">
        <x:v>Completed</x:v>
      </x:c>
    </x:row>
    <x:row r="94">
      <x:c r="A94" s="1" t="str">
        <x:v>PUB-0093</x:v>
      </x:c>
      <x:c r="B94" s="5" t="n">
        <x:v>45834</x:v>
      </x:c>
      <x:c r="C94" s="5" t="n">
        <x:v>45845</x:v>
      </x:c>
      <x:c r="D94" s="5" t="n">
        <x:v>45838</x:v>
      </x:c>
      <x:c r="E94" s="1" t="str">
        <x:v>Editorial</x:v>
      </x:c>
      <x:c r="F94" s="1" t="str">
        <x:v>Illustration</x:v>
      </x:c>
      <x:c r="G94" s="1" t="str">
        <x:v>Medium</x:v>
      </x:c>
      <x:c r="H94" s="1" t="str">
        <x:v>Manual</x:v>
      </x:c>
      <x:c r="I94" s="1" t="str">
        <x:v>Manual / NA</x:v>
      </x:c>
      <x:c r="J94" s="1" t="n">
        <x:v>70</x:v>
      </x:c>
      <x:c r="K94" s="6" t="n">
        <x:v>32.8</x:v>
      </x:c>
      <x:c r="L94" s="6" t="n">
        <x:v>30.8</x:v>
      </x:c>
      <x:c r="M94" s="6" t="n">
        <x:v>0</x:v>
      </x:c>
      <x:c r="N94" s="6" t="n">
        <x:v>27673.63</x:v>
      </x:c>
      <x:c r="O94" s="6" t="n">
        <x:v>25989.61</x:v>
      </x:c>
      <x:c r="P94" s="6" t="n">
        <x:v>0</x:v>
      </x:c>
      <x:c r="Q94" s="1" t="n">
        <x:v>0</x:v>
      </x:c>
      <x:c r="R94" s="1" t="str">
        <x:v>Yes</x:v>
      </x:c>
      <x:c r="S94" s="7" t="n">
        <x:v>84.2</x:v>
      </x:c>
      <x:c r="T94" s="1" t="str">
        <x:v>Yes</x:v>
      </x:c>
      <x:c r="U94" s="1" t="str">
        <x:v>Completed</x:v>
      </x:c>
    </x:row>
    <x:row r="95">
      <x:c r="A95" s="1" t="str">
        <x:v>PUB-0094</x:v>
      </x:c>
      <x:c r="B95" s="5" t="n">
        <x:v>45995</x:v>
      </x:c>
      <x:c r="C95" s="5" t="n">
        <x:v>46004</x:v>
      </x:c>
      <x:c r="D95" s="5" t="n">
        <x:v>45996</x:v>
      </x:c>
      <x:c r="E95" s="1" t="str">
        <x:v>Editorial</x:v>
      </x:c>
      <x:c r="F95" s="1" t="str">
        <x:v>Illustration</x:v>
      </x:c>
      <x:c r="G95" s="1" t="str">
        <x:v>Medium</x:v>
      </x:c>
      <x:c r="H95" s="1" t="str">
        <x:v>AI-Assisted</x:v>
      </x:c>
      <x:c r="I95" s="1" t="str">
        <x:v>Editorial QA</x:v>
      </x:c>
      <x:c r="J95" s="1" t="n">
        <x:v>23</x:v>
      </x:c>
      <x:c r="K95" s="6" t="n">
        <x:v>5.8</x:v>
      </x:c>
      <x:c r="L95" s="6" t="n">
        <x:v>11.2</x:v>
      </x:c>
      <x:c r="M95" s="6" t="n">
        <x:v>5.4</x:v>
      </x:c>
      <x:c r="N95" s="6" t="n">
        <x:v>4784.48</x:v>
      </x:c>
      <x:c r="O95" s="6" t="n">
        <x:v>9262.64</x:v>
      </x:c>
      <x:c r="P95" s="6" t="n">
        <x:v>4478.16</x:v>
      </x:c>
      <x:c r="Q95" s="1" t="n">
        <x:v>0</x:v>
      </x:c>
      <x:c r="R95" s="1" t="str">
        <x:v>Yes</x:v>
      </x:c>
      <x:c r="S95" s="7" t="n">
        <x:v>87.4</x:v>
      </x:c>
      <x:c r="T95" s="1" t="str">
        <x:v>Yes</x:v>
      </x:c>
      <x:c r="U95" s="1" t="str">
        <x:v>Completed</x:v>
      </x:c>
    </x:row>
    <x:row r="96">
      <x:c r="A96" s="1" t="str">
        <x:v>PUB-0095</x:v>
      </x:c>
      <x:c r="B96" s="5" t="n">
        <x:v>45744</x:v>
      </x:c>
      <x:c r="C96" s="5" t="n">
        <x:v>45762</x:v>
      </x:c>
      <x:c r="D96" s="5" t="n">
        <x:v>45757</x:v>
      </x:c>
      <x:c r="E96" s="1" t="str">
        <x:v>Editorial</x:v>
      </x:c>
      <x:c r="F96" s="1" t="str">
        <x:v>Workbook</x:v>
      </x:c>
      <x:c r="G96" s="1" t="str">
        <x:v>Low</x:v>
      </x:c>
      <x:c r="H96" s="1" t="str">
        <x:v>Manual</x:v>
      </x:c>
      <x:c r="I96" s="1" t="str">
        <x:v>Manual / NA</x:v>
      </x:c>
      <x:c r="J96" s="1" t="n">
        <x:v>216</x:v>
      </x:c>
      <x:c r="K96" s="6" t="n">
        <x:v>97.5</x:v>
      </x:c>
      <x:c r="L96" s="6" t="n">
        <x:v>91.1</x:v>
      </x:c>
      <x:c r="M96" s="6" t="n">
        <x:v>0</x:v>
      </x:c>
      <x:c r="N96" s="6" t="n">
        <x:v>111986.75</x:v>
      </x:c>
      <x:c r="O96" s="6" t="n">
        <x:v>104693.24</x:v>
      </x:c>
      <x:c r="P96" s="6" t="n">
        <x:v>0</x:v>
      </x:c>
      <x:c r="Q96" s="1" t="n">
        <x:v>0</x:v>
      </x:c>
      <x:c r="R96" s="1" t="str">
        <x:v>Yes</x:v>
      </x:c>
      <x:c r="S96" s="7" t="n">
        <x:v>91.8</x:v>
      </x:c>
      <x:c r="T96" s="1" t="str">
        <x:v>Yes</x:v>
      </x:c>
      <x:c r="U96" s="1" t="str">
        <x:v>Completed</x:v>
      </x:c>
    </x:row>
    <x:row r="97">
      <x:c r="A97" s="1" t="str">
        <x:v>PUB-0096</x:v>
      </x:c>
      <x:c r="B97" s="5" t="n">
        <x:v>45974</x:v>
      </x:c>
      <x:c r="C97" s="5" t="n">
        <x:v>45988</x:v>
      </x:c>
      <x:c r="D97" s="5" t="n">
        <x:v>45982</x:v>
      </x:c>
      <x:c r="E97" s="1" t="str">
        <x:v>Editorial</x:v>
      </x:c>
      <x:c r="F97" s="1" t="str">
        <x:v>School Textbook</x:v>
      </x:c>
      <x:c r="G97" s="1" t="str">
        <x:v>Low</x:v>
      </x:c>
      <x:c r="H97" s="1" t="str">
        <x:v>Manual</x:v>
      </x:c>
      <x:c r="I97" s="1" t="str">
        <x:v>Manual / NA</x:v>
      </x:c>
      <x:c r="J97" s="1" t="n">
        <x:v>132</x:v>
      </x:c>
      <x:c r="K97" s="6" t="n">
        <x:v>57.2</x:v>
      </x:c>
      <x:c r="L97" s="6" t="n">
        <x:v>62.8</x:v>
      </x:c>
      <x:c r="M97" s="6" t="n">
        <x:v>5.6</x:v>
      </x:c>
      <x:c r="N97" s="6" t="n">
        <x:v>45639.65</x:v>
      </x:c>
      <x:c r="O97" s="6" t="n">
        <x:v>50090.83</x:v>
      </x:c>
      <x:c r="P97" s="6" t="n">
        <x:v>4451.18</x:v>
      </x:c>
      <x:c r="Q97" s="1" t="n">
        <x:v>0</x:v>
      </x:c>
      <x:c r="R97" s="1" t="str">
        <x:v>Yes</x:v>
      </x:c>
      <x:c r="S97" s="7" t="n">
        <x:v>89.5</x:v>
      </x:c>
      <x:c r="T97" s="1" t="str">
        <x:v>Yes</x:v>
      </x:c>
      <x:c r="U97" s="1" t="str">
        <x:v>Completed</x:v>
      </x:c>
    </x:row>
    <x:row r="98">
      <x:c r="A98" s="1" t="str">
        <x:v>PUB-0097</x:v>
      </x:c>
      <x:c r="B98" s="5" t="n">
        <x:v>46197</x:v>
      </x:c>
      <x:c r="C98" s="5" t="n">
        <x:v>46201</x:v>
      </x:c>
      <x:c r="D98" s="5" t="n">
        <x:v>46199</x:v>
      </x:c>
      <x:c r="E98" s="1" t="str">
        <x:v>Editorial</x:v>
      </x:c>
      <x:c r="F98" s="1" t="str">
        <x:v>Workbook</x:v>
      </x:c>
      <x:c r="G98" s="1" t="str">
        <x:v>Medium</x:v>
      </x:c>
      <x:c r="H98" s="1" t="str">
        <x:v>Manual</x:v>
      </x:c>
      <x:c r="I98" s="1" t="str">
        <x:v>Manual / NA</x:v>
      </x:c>
      <x:c r="J98" s="1" t="n">
        <x:v>41</x:v>
      </x:c>
      <x:c r="K98" s="6" t="n">
        <x:v>14.8</x:v>
      </x:c>
      <x:c r="L98" s="6" t="n">
        <x:v>16.2</x:v>
      </x:c>
      <x:c r="M98" s="6" t="n">
        <x:v>1.4</x:v>
      </x:c>
      <x:c r="N98" s="6" t="n">
        <x:v>14747.06</x:v>
      </x:c>
      <x:c r="O98" s="6" t="n">
        <x:v>16093.58</x:v>
      </x:c>
      <x:c r="P98" s="6" t="n">
        <x:v>1346.52</x:v>
      </x:c>
      <x:c r="Q98" s="1" t="n">
        <x:v>0</x:v>
      </x:c>
      <x:c r="R98" s="1" t="str">
        <x:v>Yes</x:v>
      </x:c>
      <x:c r="S98" s="7" t="n">
        <x:v>92.2</x:v>
      </x:c>
      <x:c r="T98" s="1" t="str">
        <x:v>Yes</x:v>
      </x:c>
      <x:c r="U98" s="1" t="str">
        <x:v>Completed</x:v>
      </x:c>
    </x:row>
    <x:row r="99">
      <x:c r="A99" s="1" t="str">
        <x:v>PUB-0098</x:v>
      </x:c>
      <x:c r="B99" s="5" t="n">
        <x:v>45901</x:v>
      </x:c>
      <x:c r="C99" s="5" t="n">
        <x:v>45907</x:v>
      </x:c>
      <x:c r="D99" s="5" t="n">
        <x:v>45904</x:v>
      </x:c>
      <x:c r="E99" s="1" t="str">
        <x:v>Digital Learning</x:v>
      </x:c>
      <x:c r="F99" s="1" t="str">
        <x:v>Assessment</x:v>
      </x:c>
      <x:c r="G99" s="1" t="str">
        <x:v>Low</x:v>
      </x:c>
      <x:c r="H99" s="1" t="str">
        <x:v>Manual</x:v>
      </x:c>
      <x:c r="I99" s="1" t="str">
        <x:v>Manual / NA</x:v>
      </x:c>
      <x:c r="J99" s="1" t="n">
        <x:v>61</x:v>
      </x:c>
      <x:c r="K99" s="6" t="n">
        <x:v>22.1</x:v>
      </x:c>
      <x:c r="L99" s="6" t="n">
        <x:v>20.6</x:v>
      </x:c>
      <x:c r="M99" s="6" t="n">
        <x:v>0</x:v>
      </x:c>
      <x:c r="N99" s="6" t="n">
        <x:v>23032.29</x:v>
      </x:c>
      <x:c r="O99" s="6" t="n">
        <x:v>21509.77</x:v>
      </x:c>
      <x:c r="P99" s="6" t="n">
        <x:v>0</x:v>
      </x:c>
      <x:c r="Q99" s="1" t="n">
        <x:v>0</x:v>
      </x:c>
      <x:c r="R99" s="1" t="str">
        <x:v>Yes</x:v>
      </x:c>
      <x:c r="S99" s="7" t="n">
        <x:v>80</x:v>
      </x:c>
      <x:c r="T99" s="1" t="str">
        <x:v>Yes</x:v>
      </x:c>
      <x:c r="U99" s="1" t="str">
        <x:v>Completed</x:v>
      </x:c>
    </x:row>
    <x:row r="100">
      <x:c r="A100" s="1" t="str">
        <x:v>PUB-0099</x:v>
      </x:c>
      <x:c r="B100" s="5" t="n">
        <x:v>46109</x:v>
      </x:c>
      <x:c r="C100" s="5" t="n">
        <x:v>46116</x:v>
      </x:c>
      <x:c r="D100" s="5" t="n">
        <x:v>46111</x:v>
      </x:c>
      <x:c r="E100" s="1" t="str">
        <x:v>Design</x:v>
      </x:c>
      <x:c r="F100" s="1" t="str">
        <x:v>Workbook</x:v>
      </x:c>
      <x:c r="G100" s="1" t="str">
        <x:v>High</x:v>
      </x:c>
      <x:c r="H100" s="1" t="str">
        <x:v>AI-Assisted</x:v>
      </x:c>
      <x:c r="I100" s="1" t="str">
        <x:v>Few-shot v2</x:v>
      </x:c>
      <x:c r="J100" s="1" t="n">
        <x:v>49</x:v>
      </x:c>
      <x:c r="K100" s="6" t="n">
        <x:v>17.8</x:v>
      </x:c>
      <x:c r="L100" s="6" t="n">
        <x:v>34.7</x:v>
      </x:c>
      <x:c r="M100" s="6" t="n">
        <x:v>16.9</x:v>
      </x:c>
      <x:c r="N100" s="6" t="n">
        <x:v>13795.03</x:v>
      </x:c>
      <x:c r="O100" s="6" t="n">
        <x:v>26882.01</x:v>
      </x:c>
      <x:c r="P100" s="6" t="n">
        <x:v>13086.98</x:v>
      </x:c>
      <x:c r="Q100" s="1" t="n">
        <x:v>0</x:v>
      </x:c>
      <x:c r="R100" s="1" t="str">
        <x:v>Yes</x:v>
      </x:c>
      <x:c r="S100" s="7" t="n">
        <x:v>93.9</x:v>
      </x:c>
      <x:c r="T100" s="1" t="str">
        <x:v>Yes</x:v>
      </x:c>
      <x:c r="U100" s="1" t="str">
        <x:v>Completed</x:v>
      </x:c>
    </x:row>
    <x:row r="101">
      <x:c r="A101" s="1" t="str">
        <x:v>PUB-0100</x:v>
      </x:c>
      <x:c r="B101" s="5" t="n">
        <x:v>45785</x:v>
      </x:c>
      <x:c r="C101" s="5" t="n">
        <x:v>45789</x:v>
      </x:c>
      <x:c r="D101" s="5" t="n">
        <x:v>45786</x:v>
      </x:c>
      <x:c r="E101" s="1" t="str">
        <x:v>Editorial</x:v>
      </x:c>
      <x:c r="F101" s="1" t="str">
        <x:v>Illustration</x:v>
      </x:c>
      <x:c r="G101" s="1" t="str">
        <x:v>High</x:v>
      </x:c>
      <x:c r="H101" s="1" t="str">
        <x:v>AI-Assisted</x:v>
      </x:c>
      <x:c r="I101" s="1" t="str">
        <x:v>Visual Brief</x:v>
      </x:c>
      <x:c r="J101" s="1" t="n">
        <x:v>22</x:v>
      </x:c>
      <x:c r="K101" s="6" t="n">
        <x:v>7.7</x:v>
      </x:c>
      <x:c r="L101" s="6" t="n">
        <x:v>11</x:v>
      </x:c>
      <x:c r="M101" s="6" t="n">
        <x:v>3.3</x:v>
      </x:c>
      <x:c r="N101" s="6" t="n">
        <x:v>8149.31</x:v>
      </x:c>
      <x:c r="O101" s="6" t="n">
        <x:v>11684.56</x:v>
      </x:c>
      <x:c r="P101" s="6" t="n">
        <x:v>3535.25</x:v>
      </x:c>
      <x:c r="Q101" s="1" t="n">
        <x:v>0</x:v>
      </x:c>
      <x:c r="R101" s="1" t="str">
        <x:v>Yes</x:v>
      </x:c>
      <x:c r="S101" s="7" t="n">
        <x:v>84</x:v>
      </x:c>
      <x:c r="T101" s="1" t="str">
        <x:v>Yes</x:v>
      </x:c>
      <x:c r="U101" s="1" t="str">
        <x:v>Completed</x:v>
      </x:c>
    </x:row>
    <x:row r="102">
      <x:c r="A102" s="1" t="str">
        <x:v>PUB-0101</x:v>
      </x:c>
      <x:c r="B102" s="5" t="n">
        <x:v>46172</x:v>
      </x:c>
      <x:c r="C102" s="5" t="n">
        <x:v>46184</x:v>
      </x:c>
      <x:c r="D102" s="5" t="n">
        <x:v>46180</x:v>
      </x:c>
      <x:c r="E102" s="1" t="str">
        <x:v>Design</x:v>
      </x:c>
      <x:c r="F102" s="1" t="str">
        <x:v>Workbook</x:v>
      </x:c>
      <x:c r="G102" s="1" t="str">
        <x:v>High</x:v>
      </x:c>
      <x:c r="H102" s="1" t="str">
        <x:v>AI-Assisted</x:v>
      </x:c>
      <x:c r="I102" s="1" t="str">
        <x:v>Structured v3</x:v>
      </x:c>
      <x:c r="J102" s="1" t="n">
        <x:v>89</x:v>
      </x:c>
      <x:c r="K102" s="6" t="n">
        <x:v>40.7</x:v>
      </x:c>
      <x:c r="L102" s="6" t="n">
        <x:v>64</x:v>
      </x:c>
      <x:c r="M102" s="6" t="n">
        <x:v>23.3</x:v>
      </x:c>
      <x:c r="N102" s="6" t="n">
        <x:v>42559.6</x:v>
      </x:c>
      <x:c r="O102" s="6" t="n">
        <x:v>66905.16</x:v>
      </x:c>
      <x:c r="P102" s="6" t="n">
        <x:v>24345.56</x:v>
      </x:c>
      <x:c r="Q102" s="1" t="n">
        <x:v>1</x:v>
      </x:c>
      <x:c r="R102" s="1" t="str">
        <x:v>No</x:v>
      </x:c>
      <x:c r="S102" s="7" t="n">
        <x:v>91.5</x:v>
      </x:c>
      <x:c r="T102" s="1" t="str">
        <x:v>Yes</x:v>
      </x:c>
      <x:c r="U102" s="1" t="str">
        <x:v>Completed</x:v>
      </x:c>
    </x:row>
    <x:row r="103">
      <x:c r="A103" s="1" t="str">
        <x:v>PUB-0102</x:v>
      </x:c>
      <x:c r="B103" s="5" t="n">
        <x:v>45663</x:v>
      </x:c>
      <x:c r="C103" s="5" t="n">
        <x:v>45678</x:v>
      </x:c>
      <x:c r="D103" s="5" t="n">
        <x:v>45671</x:v>
      </x:c>
      <x:c r="E103" s="1" t="str">
        <x:v>Digital Learning</x:v>
      </x:c>
      <x:c r="F103" s="1" t="str">
        <x:v>School Textbook</x:v>
      </x:c>
      <x:c r="G103" s="1" t="str">
        <x:v>Medium</x:v>
      </x:c>
      <x:c r="H103" s="1" t="str">
        <x:v>AI-Assisted</x:v>
      </x:c>
      <x:c r="I103" s="1" t="str">
        <x:v>Structured v3</x:v>
      </x:c>
      <x:c r="J103" s="1" t="n">
        <x:v>194</x:v>
      </x:c>
      <x:c r="K103" s="6" t="n">
        <x:v>58.6</x:v>
      </x:c>
      <x:c r="L103" s="6" t="n">
        <x:v>87.9</x:v>
      </x:c>
      <x:c r="M103" s="6" t="n">
        <x:v>29.3</x:v>
      </x:c>
      <x:c r="N103" s="6" t="n">
        <x:v>45052.86</x:v>
      </x:c>
      <x:c r="O103" s="6" t="n">
        <x:v>67582.76</x:v>
      </x:c>
      <x:c r="P103" s="6" t="n">
        <x:v>22529.9</x:v>
      </x:c>
      <x:c r="Q103" s="1" t="n">
        <x:v>0</x:v>
      </x:c>
      <x:c r="R103" s="1" t="str">
        <x:v>Yes</x:v>
      </x:c>
      <x:c r="S103" s="7" t="n">
        <x:v>81.6</x:v>
      </x:c>
      <x:c r="T103" s="1" t="str">
        <x:v>Yes</x:v>
      </x:c>
      <x:c r="U103" s="1" t="str">
        <x:v>Completed</x:v>
      </x:c>
    </x:row>
    <x:row r="104">
      <x:c r="A104" s="1" t="str">
        <x:v>PUB-0103</x:v>
      </x:c>
      <x:c r="B104" s="5" t="n">
        <x:v>46126</x:v>
      </x:c>
      <x:c r="C104" s="5" t="n">
        <x:v>46138</x:v>
      </x:c>
      <x:c r="D104" s="5" t="n">
        <x:v>46129</x:v>
      </x:c>
      <x:c r="E104" s="1" t="str">
        <x:v>Editorial</x:v>
      </x:c>
      <x:c r="F104" s="1" t="str">
        <x:v>Illustration</x:v>
      </x:c>
      <x:c r="G104" s="1" t="str">
        <x:v>Medium</x:v>
      </x:c>
      <x:c r="H104" s="1" t="str">
        <x:v>AI-Assisted</x:v>
      </x:c>
      <x:c r="I104" s="1" t="str">
        <x:v>Few-shot v2</x:v>
      </x:c>
      <x:c r="J104" s="1" t="n">
        <x:v>69</x:v>
      </x:c>
      <x:c r="K104" s="6" t="n">
        <x:v>19.7</x:v>
      </x:c>
      <x:c r="L104" s="6" t="n">
        <x:v>35.7</x:v>
      </x:c>
      <x:c r="M104" s="6" t="n">
        <x:v>16</x:v>
      </x:c>
      <x:c r="N104" s="6" t="n">
        <x:v>12820.41</x:v>
      </x:c>
      <x:c r="O104" s="6" t="n">
        <x:v>23263.84</x:v>
      </x:c>
      <x:c r="P104" s="6" t="n">
        <x:v>10443.43</x:v>
      </x:c>
      <x:c r="Q104" s="1" t="n">
        <x:v>0</x:v>
      </x:c>
      <x:c r="R104" s="1" t="str">
        <x:v>Yes</x:v>
      </x:c>
      <x:c r="S104" s="7" t="n">
        <x:v>85.8</x:v>
      </x:c>
      <x:c r="T104" s="1" t="str">
        <x:v>Yes</x:v>
      </x:c>
      <x:c r="U104" s="1" t="str">
        <x:v>Completed</x:v>
      </x:c>
    </x:row>
    <x:row r="105">
      <x:c r="A105" s="1" t="str">
        <x:v>PUB-0104</x:v>
      </x:c>
      <x:c r="B105" s="5" t="n">
        <x:v>46027</x:v>
      </x:c>
      <x:c r="C105" s="5" t="n">
        <x:v>46031</x:v>
      </x:c>
      <x:c r="D105" s="5" t="n">
        <x:v>46028</x:v>
      </x:c>
      <x:c r="E105" s="1" t="str">
        <x:v>Editorial</x:v>
      </x:c>
      <x:c r="F105" s="1" t="str">
        <x:v>Assessment</x:v>
      </x:c>
      <x:c r="G105" s="1" t="str">
        <x:v>Medium</x:v>
      </x:c>
      <x:c r="H105" s="1" t="str">
        <x:v>AI-Assisted</x:v>
      </x:c>
      <x:c r="I105" s="1" t="str">
        <x:v>Visual Brief</x:v>
      </x:c>
      <x:c r="J105" s="1" t="n">
        <x:v>6</x:v>
      </x:c>
      <x:c r="K105" s="6" t="n">
        <x:v>1.8</x:v>
      </x:c>
      <x:c r="L105" s="6" t="n">
        <x:v>2.8</x:v>
      </x:c>
      <x:c r="M105" s="6" t="n">
        <x:v>1</x:v>
      </x:c>
      <x:c r="N105" s="6" t="n">
        <x:v>2052.94</x:v>
      </x:c>
      <x:c r="O105" s="6" t="n">
        <x:v>3171.3</x:v>
      </x:c>
      <x:c r="P105" s="6" t="n">
        <x:v>1118.36</x:v>
      </x:c>
      <x:c r="Q105" s="1" t="n">
        <x:v>0</x:v>
      </x:c>
      <x:c r="R105" s="1" t="str">
        <x:v>Yes</x:v>
      </x:c>
      <x:c r="S105" s="7" t="n">
        <x:v>87.5</x:v>
      </x:c>
      <x:c r="T105" s="1" t="str">
        <x:v>Yes</x:v>
      </x:c>
      <x:c r="U105" s="1" t="str">
        <x:v>Completed</x:v>
      </x:c>
    </x:row>
    <x:row r="106">
      <x:c r="A106" s="1" t="str">
        <x:v>PUB-0105</x:v>
      </x:c>
      <x:c r="B106" s="5" t="n">
        <x:v>46011</x:v>
      </x:c>
      <x:c r="C106" s="5" t="n">
        <x:v>46018</x:v>
      </x:c>
      <x:c r="D106" s="5" t="n">
        <x:v>46012</x:v>
      </x:c>
      <x:c r="E106" s="1" t="str">
        <x:v>Editorial</x:v>
      </x:c>
      <x:c r="F106" s="1" t="str">
        <x:v>Assessment</x:v>
      </x:c>
      <x:c r="G106" s="1" t="str">
        <x:v>Low</x:v>
      </x:c>
      <x:c r="H106" s="1" t="str">
        <x:v>AI-Assisted</x:v>
      </x:c>
      <x:c r="I106" s="1" t="str">
        <x:v>Editorial QA</x:v>
      </x:c>
      <x:c r="J106" s="1" t="n">
        <x:v>46</x:v>
      </x:c>
      <x:c r="K106" s="6" t="n">
        <x:v>9.3</x:v>
      </x:c>
      <x:c r="L106" s="6" t="n">
        <x:v>16.5</x:v>
      </x:c>
      <x:c r="M106" s="6" t="n">
        <x:v>7.2</x:v>
      </x:c>
      <x:c r="N106" s="6" t="n">
        <x:v>9034</x:v>
      </x:c>
      <x:c r="O106" s="6" t="n">
        <x:v>16030.7</x:v>
      </x:c>
      <x:c r="P106" s="6" t="n">
        <x:v>6996.7</x:v>
      </x:c>
      <x:c r="Q106" s="1" t="n">
        <x:v>0</x:v>
      </x:c>
      <x:c r="R106" s="1" t="str">
        <x:v>Yes</x:v>
      </x:c>
      <x:c r="S106" s="7" t="n">
        <x:v>82.8</x:v>
      </x:c>
      <x:c r="T106" s="1" t="str">
        <x:v>Yes</x:v>
      </x:c>
      <x:c r="U106" s="1" t="str">
        <x:v>Completed</x:v>
      </x:c>
    </x:row>
    <x:row r="107">
      <x:c r="A107" s="1" t="str">
        <x:v>PUB-0106</x:v>
      </x:c>
      <x:c r="B107" s="5" t="n">
        <x:v>45796</x:v>
      </x:c>
      <x:c r="C107" s="5" t="n">
        <x:v>45806</x:v>
      </x:c>
      <x:c r="D107" s="5" t="n">
        <x:v>45797</x:v>
      </x:c>
      <x:c r="E107" s="1" t="str">
        <x:v>Editorial</x:v>
      </x:c>
      <x:c r="F107" s="1" t="str">
        <x:v>Illustration</x:v>
      </x:c>
      <x:c r="G107" s="1" t="str">
        <x:v>High</x:v>
      </x:c>
      <x:c r="H107" s="1" t="str">
        <x:v>AI-Assisted</x:v>
      </x:c>
      <x:c r="I107" s="1" t="str">
        <x:v>Structured v3</x:v>
      </x:c>
      <x:c r="J107" s="1" t="n">
        <x:v>9</x:v>
      </x:c>
      <x:c r="K107" s="6" t="n">
        <x:v>3.7</x:v>
      </x:c>
      <x:c r="L107" s="6" t="n">
        <x:v>6.6</x:v>
      </x:c>
      <x:c r="M107" s="6" t="n">
        <x:v>2.9</x:v>
      </x:c>
      <x:c r="N107" s="6" t="n">
        <x:v>2978.64</x:v>
      </x:c>
      <x:c r="O107" s="6" t="n">
        <x:v>5306.73</x:v>
      </x:c>
      <x:c r="P107" s="6" t="n">
        <x:v>2328.09</x:v>
      </x:c>
      <x:c r="Q107" s="1" t="n">
        <x:v>0</x:v>
      </x:c>
      <x:c r="R107" s="1" t="str">
        <x:v>Yes</x:v>
      </x:c>
      <x:c r="S107" s="7" t="n">
        <x:v>74.8</x:v>
      </x:c>
      <x:c r="T107" s="1" t="str">
        <x:v>Yes</x:v>
      </x:c>
      <x:c r="U107" s="1" t="str">
        <x:v>Completed</x:v>
      </x:c>
    </x:row>
    <x:row r="108">
      <x:c r="A108" s="1" t="str">
        <x:v>PUB-0107</x:v>
      </x:c>
      <x:c r="B108" s="5" t="n">
        <x:v>45695</x:v>
      </x:c>
      <x:c r="C108" s="5" t="n">
        <x:v>45707</x:v>
      </x:c>
      <x:c r="D108" s="5" t="n">
        <x:v>45700</x:v>
      </x:c>
      <x:c r="E108" s="1" t="str">
        <x:v>Production</x:v>
      </x:c>
      <x:c r="F108" s="1" t="str">
        <x:v>School Textbook</x:v>
      </x:c>
      <x:c r="G108" s="1" t="str">
        <x:v>Medium</x:v>
      </x:c>
      <x:c r="H108" s="1" t="str">
        <x:v>AI-Assisted</x:v>
      </x:c>
      <x:c r="I108" s="1" t="str">
        <x:v>Editorial QA</x:v>
      </x:c>
      <x:c r="J108" s="1" t="n">
        <x:v>175</x:v>
      </x:c>
      <x:c r="K108" s="6" t="n">
        <x:v>38.5</x:v>
      </x:c>
      <x:c r="L108" s="6" t="n">
        <x:v>67.8</x:v>
      </x:c>
      <x:c r="M108" s="6" t="n">
        <x:v>29.3</x:v>
      </x:c>
      <x:c r="N108" s="6" t="n">
        <x:v>42147.62</x:v>
      </x:c>
      <x:c r="O108" s="6" t="n">
        <x:v>74215.15</x:v>
      </x:c>
      <x:c r="P108" s="6" t="n">
        <x:v>32067.53</x:v>
      </x:c>
      <x:c r="Q108" s="1" t="n">
        <x:v>0</x:v>
      </x:c>
      <x:c r="R108" s="1" t="str">
        <x:v>Yes</x:v>
      </x:c>
      <x:c r="S108" s="7" t="n">
        <x:v>93.3</x:v>
      </x:c>
      <x:c r="T108" s="1" t="str">
        <x:v>Yes</x:v>
      </x:c>
      <x:c r="U108" s="1" t="str">
        <x:v>Completed</x:v>
      </x:c>
    </x:row>
    <x:row r="109">
      <x:c r="A109" s="1" t="str">
        <x:v>PUB-0108</x:v>
      </x:c>
      <x:c r="B109" s="5" t="n">
        <x:v>46034</x:v>
      </x:c>
      <x:c r="C109" s="5" t="n">
        <x:v>46039</x:v>
      </x:c>
      <x:c r="D109" s="5" t="n">
        <x:v>46037</x:v>
      </x:c>
      <x:c r="E109" s="1" t="str">
        <x:v>Digital Learning</x:v>
      </x:c>
      <x:c r="F109" s="1" t="str">
        <x:v>Assessment</x:v>
      </x:c>
      <x:c r="G109" s="1" t="str">
        <x:v>Low</x:v>
      </x:c>
      <x:c r="H109" s="1" t="str">
        <x:v>Manual</x:v>
      </x:c>
      <x:c r="I109" s="1" t="str">
        <x:v>Manual / NA</x:v>
      </x:c>
      <x:c r="J109" s="1" t="n">
        <x:v>58</x:v>
      </x:c>
      <x:c r="K109" s="6" t="n">
        <x:v>24.5</x:v>
      </x:c>
      <x:c r="L109" s="6" t="n">
        <x:v>23.4</x:v>
      </x:c>
      <x:c r="M109" s="6" t="n">
        <x:v>0</x:v>
      </x:c>
      <x:c r="N109" s="6" t="n">
        <x:v>22607.06</x:v>
      </x:c>
      <x:c r="O109" s="6" t="n">
        <x:v>21615.29</x:v>
      </x:c>
      <x:c r="P109" s="6" t="n">
        <x:v>0</x:v>
      </x:c>
      <x:c r="Q109" s="1" t="n">
        <x:v>0</x:v>
      </x:c>
      <x:c r="R109" s="1" t="str">
        <x:v>Yes</x:v>
      </x:c>
      <x:c r="S109" s="7" t="n">
        <x:v>81.7</x:v>
      </x:c>
      <x:c r="T109" s="1" t="str">
        <x:v>Yes</x:v>
      </x:c>
      <x:c r="U109" s="1" t="str">
        <x:v>Completed</x:v>
      </x:c>
    </x:row>
    <x:row r="110">
      <x:c r="A110" s="1" t="str">
        <x:v>PUB-0109</x:v>
      </x:c>
      <x:c r="B110" s="5" t="n">
        <x:v>45971</x:v>
      </x:c>
      <x:c r="C110" s="5" t="n">
        <x:v>45977</x:v>
      </x:c>
      <x:c r="D110" s="5" t="n">
        <x:v>45973</x:v>
      </x:c>
      <x:c r="E110" s="1" t="str">
        <x:v>Design</x:v>
      </x:c>
      <x:c r="F110" s="1" t="str">
        <x:v>Illustration</x:v>
      </x:c>
      <x:c r="G110" s="1" t="str">
        <x:v>Low</x:v>
      </x:c>
      <x:c r="H110" s="1" t="str">
        <x:v>AI-Assisted</x:v>
      </x:c>
      <x:c r="I110" s="1" t="str">
        <x:v>Few-shot v2</x:v>
      </x:c>
      <x:c r="J110" s="1" t="n">
        <x:v>61</x:v>
      </x:c>
      <x:c r="K110" s="6" t="n">
        <x:v>15.6</x:v>
      </x:c>
      <x:c r="L110" s="6" t="n">
        <x:v>27.6</x:v>
      </x:c>
      <x:c r="M110" s="6" t="n">
        <x:v>12</x:v>
      </x:c>
      <x:c r="N110" s="6" t="n">
        <x:v>17925.57</x:v>
      </x:c>
      <x:c r="O110" s="6" t="n">
        <x:v>31693.15</x:v>
      </x:c>
      <x:c r="P110" s="6" t="n">
        <x:v>13767.58</x:v>
      </x:c>
      <x:c r="Q110" s="1" t="n">
        <x:v>0</x:v>
      </x:c>
      <x:c r="R110" s="1" t="str">
        <x:v>Yes</x:v>
      </x:c>
      <x:c r="S110" s="7" t="n">
        <x:v>99</x:v>
      </x:c>
      <x:c r="T110" s="1" t="str">
        <x:v>Yes</x:v>
      </x:c>
      <x:c r="U110" s="1" t="str">
        <x:v>Completed</x:v>
      </x:c>
    </x:row>
    <x:row r="111">
      <x:c r="A111" s="1" t="str">
        <x:v>PUB-0110</x:v>
      </x:c>
      <x:c r="B111" s="5" t="n">
        <x:v>46030</x:v>
      </x:c>
      <x:c r="C111" s="5" t="n">
        <x:v>46038</x:v>
      </x:c>
      <x:c r="D111" s="5" t="n">
        <x:v>46032</x:v>
      </x:c>
      <x:c r="E111" s="1" t="str">
        <x:v>Design</x:v>
      </x:c>
      <x:c r="F111" s="1" t="str">
        <x:v>Illustration</x:v>
      </x:c>
      <x:c r="G111" s="1" t="str">
        <x:v>Low</x:v>
      </x:c>
      <x:c r="H111" s="1" t="str">
        <x:v>AI-Assisted</x:v>
      </x:c>
      <x:c r="I111" s="1" t="str">
        <x:v>Structured v3</x:v>
      </x:c>
      <x:c r="J111" s="1" t="n">
        <x:v>60</x:v>
      </x:c>
      <x:c r="K111" s="6" t="n">
        <x:v>12.3</x:v>
      </x:c>
      <x:c r="L111" s="6" t="n">
        <x:v>18.4</x:v>
      </x:c>
      <x:c r="M111" s="6" t="n">
        <x:v>6.1</x:v>
      </x:c>
      <x:c r="N111" s="6" t="n">
        <x:v>10247.92</x:v>
      </x:c>
      <x:c r="O111" s="6" t="n">
        <x:v>15363.33</x:v>
      </x:c>
      <x:c r="P111" s="6" t="n">
        <x:v>5115.41</x:v>
      </x:c>
      <x:c r="Q111" s="1" t="n">
        <x:v>0</x:v>
      </x:c>
      <x:c r="R111" s="1" t="str">
        <x:v>Yes</x:v>
      </x:c>
      <x:c r="S111" s="7" t="n">
        <x:v>87.3</x:v>
      </x:c>
      <x:c r="T111" s="1" t="str">
        <x:v>Yes</x:v>
      </x:c>
      <x:c r="U111" s="1" t="str">
        <x:v>Completed</x:v>
      </x:c>
    </x:row>
    <x:row r="112">
      <x:c r="A112" s="1" t="str">
        <x:v>PUB-0111</x:v>
      </x:c>
      <x:c r="B112" s="5" t="n">
        <x:v>46118</x:v>
      </x:c>
      <x:c r="C112" s="5" t="n">
        <x:v>46131</x:v>
      </x:c>
      <x:c r="D112" s="5" t="str"/>
      <x:c r="E112" s="1" t="str">
        <x:v>Digital Learning</x:v>
      </x:c>
      <x:c r="F112" s="1" t="str">
        <x:v>Workbook</x:v>
      </x:c>
      <x:c r="G112" s="1" t="str">
        <x:v>Low</x:v>
      </x:c>
      <x:c r="H112" s="1" t="str">
        <x:v>Manual</x:v>
      </x:c>
      <x:c r="I112" s="1" t="str">
        <x:v>Manual / NA</x:v>
      </x:c>
      <x:c r="J112" s="1" t="n">
        <x:v>154</x:v>
      </x:c>
      <x:c r="K112" s="6" t="n">
        <x:v>52.5</x:v>
      </x:c>
      <x:c r="L112" s="6" t="n">
        <x:v>55.7</x:v>
      </x:c>
      <x:c r="M112" s="6" t="n">
        <x:v>3.2</x:v>
      </x:c>
      <x:c r="N112" s="6" t="n">
        <x:v>41440.61</x:v>
      </x:c>
      <x:c r="O112" s="6" t="n">
        <x:v>43931.19</x:v>
      </x:c>
      <x:c r="P112" s="6" t="n">
        <x:v>2490.58</x:v>
      </x:c>
      <x:c r="Q112" s="1" t="n">
        <x:v>0</x:v>
      </x:c>
      <x:c r="R112" s="1" t="str"/>
      <x:c r="S112" s="7" t="n">
        <x:v>88.5</x:v>
      </x:c>
      <x:c r="T112" s="1" t="str"/>
      <x:c r="U112" s="1" t="str">
        <x:v>In Review</x:v>
      </x:c>
    </x:row>
    <x:row r="113">
      <x:c r="A113" s="1" t="str">
        <x:v>PUB-0112</x:v>
      </x:c>
      <x:c r="B113" s="5" t="n">
        <x:v>45778</x:v>
      </x:c>
      <x:c r="C113" s="5" t="n">
        <x:v>45791</x:v>
      </x:c>
      <x:c r="D113" s="5" t="str"/>
      <x:c r="E113" s="1" t="str">
        <x:v>Editorial</x:v>
      </x:c>
      <x:c r="F113" s="1" t="str">
        <x:v>Workbook</x:v>
      </x:c>
      <x:c r="G113" s="1" t="str">
        <x:v>Medium</x:v>
      </x:c>
      <x:c r="H113" s="1" t="str">
        <x:v>AI-Assisted</x:v>
      </x:c>
      <x:c r="I113" s="1" t="str">
        <x:v>Visual Brief</x:v>
      </x:c>
      <x:c r="J113" s="1" t="n">
        <x:v>81</x:v>
      </x:c>
      <x:c r="K113" s="6" t="n">
        <x:v>24.8</x:v>
      </x:c>
      <x:c r="L113" s="6" t="n">
        <x:v>47</x:v>
      </x:c>
      <x:c r="M113" s="6" t="n">
        <x:v>22.2</x:v>
      </x:c>
      <x:c r="N113" s="6" t="n">
        <x:v>17803.03</x:v>
      </x:c>
      <x:c r="O113" s="6" t="n">
        <x:v>33707.72</x:v>
      </x:c>
      <x:c r="P113" s="6" t="n">
        <x:v>15904.69</x:v>
      </x:c>
      <x:c r="Q113" s="1" t="n">
        <x:v>1</x:v>
      </x:c>
      <x:c r="R113" s="1" t="str"/>
      <x:c r="S113" s="7" t="n">
        <x:v>88</x:v>
      </x:c>
      <x:c r="T113" s="1" t="str"/>
      <x:c r="U113" s="1" t="str">
        <x:v>In Progress</x:v>
      </x:c>
    </x:row>
    <x:row r="114">
      <x:c r="A114" s="1" t="str">
        <x:v>PUB-0113</x:v>
      </x:c>
      <x:c r="B114" s="5" t="n">
        <x:v>45985</x:v>
      </x:c>
      <x:c r="C114" s="5" t="n">
        <x:v>45992</x:v>
      </x:c>
      <x:c r="D114" s="5" t="n">
        <x:v>45988</x:v>
      </x:c>
      <x:c r="E114" s="1" t="str">
        <x:v>Production</x:v>
      </x:c>
      <x:c r="F114" s="1" t="str">
        <x:v>Illustration</x:v>
      </x:c>
      <x:c r="G114" s="1" t="str">
        <x:v>High</x:v>
      </x:c>
      <x:c r="H114" s="1" t="str">
        <x:v>AI-Assisted</x:v>
      </x:c>
      <x:c r="I114" s="1" t="str">
        <x:v>Structured v3</x:v>
      </x:c>
      <x:c r="J114" s="1" t="n">
        <x:v>42</x:v>
      </x:c>
      <x:c r="K114" s="6" t="n">
        <x:v>20.1</x:v>
      </x:c>
      <x:c r="L114" s="6" t="n">
        <x:v>28.6</x:v>
      </x:c>
      <x:c r="M114" s="6" t="n">
        <x:v>8.5</x:v>
      </x:c>
      <x:c r="N114" s="6" t="n">
        <x:v>19473.89</x:v>
      </x:c>
      <x:c r="O114" s="6" t="n">
        <x:v>27748.05</x:v>
      </x:c>
      <x:c r="P114" s="6" t="n">
        <x:v>8274.16</x:v>
      </x:c>
      <x:c r="Q114" s="1" t="n">
        <x:v>0</x:v>
      </x:c>
      <x:c r="R114" s="1" t="str">
        <x:v>Yes</x:v>
      </x:c>
      <x:c r="S114" s="7" t="n">
        <x:v>86.2</x:v>
      </x:c>
      <x:c r="T114" s="1" t="str">
        <x:v>Yes</x:v>
      </x:c>
      <x:c r="U114" s="1" t="str">
        <x:v>Completed</x:v>
      </x:c>
    </x:row>
    <x:row r="115">
      <x:c r="A115" s="1" t="str">
        <x:v>PUB-0114</x:v>
      </x:c>
      <x:c r="B115" s="5" t="n">
        <x:v>46163</x:v>
      </x:c>
      <x:c r="C115" s="5" t="n">
        <x:v>46171</x:v>
      </x:c>
      <x:c r="D115" s="5" t="n">
        <x:v>46164</x:v>
      </x:c>
      <x:c r="E115" s="1" t="str">
        <x:v>Editorial</x:v>
      </x:c>
      <x:c r="F115" s="1" t="str">
        <x:v>Assessment</x:v>
      </x:c>
      <x:c r="G115" s="1" t="str">
        <x:v>Medium</x:v>
      </x:c>
      <x:c r="H115" s="1" t="str">
        <x:v>AI-Assisted</x:v>
      </x:c>
      <x:c r="I115" s="1" t="str">
        <x:v>Editorial QA</x:v>
      </x:c>
      <x:c r="J115" s="1" t="n">
        <x:v>20</x:v>
      </x:c>
      <x:c r="K115" s="6" t="n">
        <x:v>4.2</x:v>
      </x:c>
      <x:c r="L115" s="6" t="n">
        <x:v>7.6</x:v>
      </x:c>
      <x:c r="M115" s="6" t="n">
        <x:v>3.4</x:v>
      </x:c>
      <x:c r="N115" s="6" t="n">
        <x:v>4829.15</x:v>
      </x:c>
      <x:c r="O115" s="6" t="n">
        <x:v>8714.72</x:v>
      </x:c>
      <x:c r="P115" s="6" t="n">
        <x:v>3885.57</x:v>
      </x:c>
      <x:c r="Q115" s="1" t="n">
        <x:v>0</x:v>
      </x:c>
      <x:c r="R115" s="1" t="str">
        <x:v>Yes</x:v>
      </x:c>
      <x:c r="S115" s="7" t="n">
        <x:v>88.8</x:v>
      </x:c>
      <x:c r="T115" s="1" t="str">
        <x:v>Yes</x:v>
      </x:c>
      <x:c r="U115" s="1" t="str">
        <x:v>Completed</x:v>
      </x:c>
    </x:row>
    <x:row r="116">
      <x:c r="A116" s="1" t="str">
        <x:v>PUB-0115</x:v>
      </x:c>
      <x:c r="B116" s="5" t="n">
        <x:v>45733</x:v>
      </x:c>
      <x:c r="C116" s="5" t="n">
        <x:v>45751</x:v>
      </x:c>
      <x:c r="D116" s="5" t="n">
        <x:v>45740</x:v>
      </x:c>
      <x:c r="E116" s="1" t="str">
        <x:v>Editorial</x:v>
      </x:c>
      <x:c r="F116" s="1" t="str">
        <x:v>Workbook</x:v>
      </x:c>
      <x:c r="G116" s="1" t="str">
        <x:v>Medium</x:v>
      </x:c>
      <x:c r="H116" s="1" t="str">
        <x:v>AI-Assisted</x:v>
      </x:c>
      <x:c r="I116" s="1" t="str">
        <x:v>Few-shot v2</x:v>
      </x:c>
      <x:c r="J116" s="1" t="n">
        <x:v>140</x:v>
      </x:c>
      <x:c r="K116" s="6" t="n">
        <x:v>51.7</x:v>
      </x:c>
      <x:c r="L116" s="6" t="n">
        <x:v>77.4</x:v>
      </x:c>
      <x:c r="M116" s="6" t="n">
        <x:v>25.7</x:v>
      </x:c>
      <x:c r="N116" s="6" t="n">
        <x:v>50143.67</x:v>
      </x:c>
      <x:c r="O116" s="6" t="n">
        <x:v>75109.96</x:v>
      </x:c>
      <x:c r="P116" s="6" t="n">
        <x:v>24966.29</x:v>
      </x:c>
      <x:c r="Q116" s="1" t="n">
        <x:v>0</x:v>
      </x:c>
      <x:c r="R116" s="1" t="str">
        <x:v>Yes</x:v>
      </x:c>
      <x:c r="S116" s="7" t="n">
        <x:v>94.7</x:v>
      </x:c>
      <x:c r="T116" s="1" t="str">
        <x:v>Yes</x:v>
      </x:c>
      <x:c r="U116" s="1" t="str">
        <x:v>Completed</x:v>
      </x:c>
    </x:row>
    <x:row r="117">
      <x:c r="A117" s="1" t="str">
        <x:v>PUB-0116</x:v>
      </x:c>
      <x:c r="B117" s="5" t="n">
        <x:v>46188</x:v>
      </x:c>
      <x:c r="C117" s="5" t="n">
        <x:v>46200</x:v>
      </x:c>
      <x:c r="D117" s="5" t="n">
        <x:v>46195</x:v>
      </x:c>
      <x:c r="E117" s="1" t="str">
        <x:v>Editorial</x:v>
      </x:c>
      <x:c r="F117" s="1" t="str">
        <x:v>School Textbook</x:v>
      </x:c>
      <x:c r="G117" s="1" t="str">
        <x:v>High</x:v>
      </x:c>
      <x:c r="H117" s="1" t="str">
        <x:v>AI-Assisted</x:v>
      </x:c>
      <x:c r="I117" s="1" t="str">
        <x:v>Editorial QA</x:v>
      </x:c>
      <x:c r="J117" s="1" t="n">
        <x:v>96</x:v>
      </x:c>
      <x:c r="K117" s="6" t="n">
        <x:v>32.9</x:v>
      </x:c>
      <x:c r="L117" s="6" t="n">
        <x:v>60.1</x:v>
      </x:c>
      <x:c r="M117" s="6" t="n">
        <x:v>27.2</x:v>
      </x:c>
      <x:c r="N117" s="6" t="n">
        <x:v>22682.25</x:v>
      </x:c>
      <x:c r="O117" s="6" t="n">
        <x:v>41424.56</x:v>
      </x:c>
      <x:c r="P117" s="6" t="n">
        <x:v>18742.31</x:v>
      </x:c>
      <x:c r="Q117" s="1" t="n">
        <x:v>3</x:v>
      </x:c>
      <x:c r="R117" s="1" t="str">
        <x:v>No</x:v>
      </x:c>
      <x:c r="S117" s="7" t="n">
        <x:v>83</x:v>
      </x:c>
      <x:c r="T117" s="1" t="str">
        <x:v>Yes</x:v>
      </x:c>
      <x:c r="U117" s="1" t="str">
        <x:v>Completed</x:v>
      </x:c>
    </x:row>
    <x:row r="118">
      <x:c r="A118" s="1" t="str">
        <x:v>PUB-0117</x:v>
      </x:c>
      <x:c r="B118" s="5" t="n">
        <x:v>45753</x:v>
      </x:c>
      <x:c r="C118" s="5" t="n">
        <x:v>45758</x:v>
      </x:c>
      <x:c r="D118" s="5" t="str"/>
      <x:c r="E118" s="1" t="str">
        <x:v>Design</x:v>
      </x:c>
      <x:c r="F118" s="1" t="str">
        <x:v>School Textbook</x:v>
      </x:c>
      <x:c r="G118" s="1" t="str">
        <x:v>Low</x:v>
      </x:c>
      <x:c r="H118" s="1" t="str">
        <x:v>Manual</x:v>
      </x:c>
      <x:c r="I118" s="1" t="str">
        <x:v>Manual / NA</x:v>
      </x:c>
      <x:c r="J118" s="1" t="n">
        <x:v>47</x:v>
      </x:c>
      <x:c r="K118" s="6" t="n">
        <x:v>20.3</x:v>
      </x:c>
      <x:c r="L118" s="6" t="n">
        <x:v>19.2</x:v>
      </x:c>
      <x:c r="M118" s="6" t="n">
        <x:v>0</x:v>
      </x:c>
      <x:c r="N118" s="6" t="n">
        <x:v>16621.84</x:v>
      </x:c>
      <x:c r="O118" s="6" t="n">
        <x:v>15695.96</x:v>
      </x:c>
      <x:c r="P118" s="6" t="n">
        <x:v>0</x:v>
      </x:c>
      <x:c r="Q118" s="1" t="n">
        <x:v>0</x:v>
      </x:c>
      <x:c r="R118" s="1" t="str"/>
      <x:c r="S118" s="7" t="n">
        <x:v>95.6</x:v>
      </x:c>
      <x:c r="T118" s="1" t="str"/>
      <x:c r="U118" s="1" t="str">
        <x:v>In Review</x:v>
      </x:c>
    </x:row>
    <x:row r="119">
      <x:c r="A119" s="1" t="str">
        <x:v>PUB-0118</x:v>
      </x:c>
      <x:c r="B119" s="5" t="n">
        <x:v>45929</x:v>
      </x:c>
      <x:c r="C119" s="5" t="n">
        <x:v>45940</x:v>
      </x:c>
      <x:c r="D119" s="5" t="n">
        <x:v>45937</x:v>
      </x:c>
      <x:c r="E119" s="1" t="str">
        <x:v>Production</x:v>
      </x:c>
      <x:c r="F119" s="1" t="str">
        <x:v>Illustration</x:v>
      </x:c>
      <x:c r="G119" s="1" t="str">
        <x:v>High</x:v>
      </x:c>
      <x:c r="H119" s="1" t="str">
        <x:v>AI-Assisted</x:v>
      </x:c>
      <x:c r="I119" s="1" t="str">
        <x:v>Editorial QA</x:v>
      </x:c>
      <x:c r="J119" s="1" t="n">
        <x:v>67</x:v>
      </x:c>
      <x:c r="K119" s="6" t="n">
        <x:v>26.9</x:v>
      </x:c>
      <x:c r="L119" s="6" t="n">
        <x:v>42.5</x:v>
      </x:c>
      <x:c r="M119" s="6" t="n">
        <x:v>15.6</x:v>
      </x:c>
      <x:c r="N119" s="6" t="n">
        <x:v>21548.17</x:v>
      </x:c>
      <x:c r="O119" s="6" t="n">
        <x:v>34007.32</x:v>
      </x:c>
      <x:c r="P119" s="6" t="n">
        <x:v>12459.15</x:v>
      </x:c>
      <x:c r="Q119" s="1" t="n">
        <x:v>2</x:v>
      </x:c>
      <x:c r="R119" s="1" t="str">
        <x:v>No</x:v>
      </x:c>
      <x:c r="S119" s="7" t="n">
        <x:v>88.6</x:v>
      </x:c>
      <x:c r="T119" s="1" t="str">
        <x:v>Yes</x:v>
      </x:c>
      <x:c r="U119" s="1" t="str">
        <x:v>Completed</x:v>
      </x:c>
    </x:row>
    <x:row r="120">
      <x:c r="A120" s="1" t="str">
        <x:v>PUB-0119</x:v>
      </x:c>
      <x:c r="B120" s="5" t="n">
        <x:v>45719</x:v>
      </x:c>
      <x:c r="C120" s="5" t="n">
        <x:v>45728</x:v>
      </x:c>
      <x:c r="D120" s="5" t="n">
        <x:v>45721</x:v>
      </x:c>
      <x:c r="E120" s="1" t="str">
        <x:v>Editorial</x:v>
      </x:c>
      <x:c r="F120" s="1" t="str">
        <x:v>Workbook</x:v>
      </x:c>
      <x:c r="G120" s="1" t="str">
        <x:v>Medium</x:v>
      </x:c>
      <x:c r="H120" s="1" t="str">
        <x:v>AI-Assisted</x:v>
      </x:c>
      <x:c r="I120" s="1" t="str">
        <x:v>Few-shot v2</x:v>
      </x:c>
      <x:c r="J120" s="1" t="n">
        <x:v>44</x:v>
      </x:c>
      <x:c r="K120" s="6" t="n">
        <x:v>15</x:v>
      </x:c>
      <x:c r="L120" s="6" t="n">
        <x:v>22.8</x:v>
      </x:c>
      <x:c r="M120" s="6" t="n">
        <x:v>7.8</x:v>
      </x:c>
      <x:c r="N120" s="6" t="n">
        <x:v>16205.83</x:v>
      </x:c>
      <x:c r="O120" s="6" t="n">
        <x:v>24626.11</x:v>
      </x:c>
      <x:c r="P120" s="6" t="n">
        <x:v>8420.28</x:v>
      </x:c>
      <x:c r="Q120" s="1" t="n">
        <x:v>0</x:v>
      </x:c>
      <x:c r="R120" s="1" t="str">
        <x:v>Yes</x:v>
      </x:c>
      <x:c r="S120" s="7" t="n">
        <x:v>92.6</x:v>
      </x:c>
      <x:c r="T120" s="1" t="str">
        <x:v>Yes</x:v>
      </x:c>
      <x:c r="U120" s="1" t="str">
        <x:v>Completed</x:v>
      </x:c>
    </x:row>
    <x:row r="121">
      <x:c r="A121" s="1" t="str">
        <x:v>PUB-0120</x:v>
      </x:c>
      <x:c r="B121" s="5" t="n">
        <x:v>46135</x:v>
      </x:c>
      <x:c r="C121" s="5" t="n">
        <x:v>46149</x:v>
      </x:c>
      <x:c r="D121" s="5" t="n">
        <x:v>46141</x:v>
      </x:c>
      <x:c r="E121" s="1" t="str">
        <x:v>Editorial</x:v>
      </x:c>
      <x:c r="F121" s="1" t="str">
        <x:v>Workbook</x:v>
      </x:c>
      <x:c r="G121" s="1" t="str">
        <x:v>High</x:v>
      </x:c>
      <x:c r="H121" s="1" t="str">
        <x:v>AI-Assisted</x:v>
      </x:c>
      <x:c r="I121" s="1" t="str">
        <x:v>Structured v3</x:v>
      </x:c>
      <x:c r="J121" s="1" t="n">
        <x:v>106</x:v>
      </x:c>
      <x:c r="K121" s="6" t="n">
        <x:v>45</x:v>
      </x:c>
      <x:c r="L121" s="6" t="n">
        <x:v>63.2</x:v>
      </x:c>
      <x:c r="M121" s="6" t="n">
        <x:v>18.2</x:v>
      </x:c>
      <x:c r="N121" s="6" t="n">
        <x:v>49551.99</x:v>
      </x:c>
      <x:c r="O121" s="6" t="n">
        <x:v>69639.7</x:v>
      </x:c>
      <x:c r="P121" s="6" t="n">
        <x:v>20087.71</x:v>
      </x:c>
      <x:c r="Q121" s="1" t="n">
        <x:v>0</x:v>
      </x:c>
      <x:c r="R121" s="1" t="str">
        <x:v>Yes</x:v>
      </x:c>
      <x:c r="S121" s="7" t="n">
        <x:v>92.9</x:v>
      </x:c>
      <x:c r="T121" s="1" t="str">
        <x:v>Yes</x:v>
      </x:c>
      <x:c r="U121" s="1" t="str">
        <x:v>Completed</x:v>
      </x:c>
    </x:row>
    <x:row r="122">
      <x:c r="A122" s="1" t="str">
        <x:v>PUB-0121</x:v>
      </x:c>
      <x:c r="B122" s="5" t="n">
        <x:v>45821</x:v>
      </x:c>
      <x:c r="C122" s="5" t="n">
        <x:v>45829</x:v>
      </x:c>
      <x:c r="D122" s="5" t="n">
        <x:v>45822</x:v>
      </x:c>
      <x:c r="E122" s="1" t="str">
        <x:v>Design</x:v>
      </x:c>
      <x:c r="F122" s="1" t="str">
        <x:v>Assessment</x:v>
      </x:c>
      <x:c r="G122" s="1" t="str">
        <x:v>Low</x:v>
      </x:c>
      <x:c r="H122" s="1" t="str">
        <x:v>AI-Assisted</x:v>
      </x:c>
      <x:c r="I122" s="1" t="str">
        <x:v>Structured v3</x:v>
      </x:c>
      <x:c r="J122" s="1" t="n">
        <x:v>6</x:v>
      </x:c>
      <x:c r="K122" s="6" t="n">
        <x:v>1.3</x:v>
      </x:c>
      <x:c r="L122" s="6" t="n">
        <x:v>2.2</x:v>
      </x:c>
      <x:c r="M122" s="6" t="n">
        <x:v>0.9</x:v>
      </x:c>
      <x:c r="N122" s="6" t="n">
        <x:v>1001.47</x:v>
      </x:c>
      <x:c r="O122" s="6" t="n">
        <x:v>1692.37</x:v>
      </x:c>
      <x:c r="P122" s="6" t="n">
        <x:v>690.9</x:v>
      </x:c>
      <x:c r="Q122" s="1" t="n">
        <x:v>0</x:v>
      </x:c>
      <x:c r="R122" s="1" t="str">
        <x:v>Yes</x:v>
      </x:c>
      <x:c r="S122" s="7" t="n">
        <x:v>93.3</x:v>
      </x:c>
      <x:c r="T122" s="1" t="str">
        <x:v>Yes</x:v>
      </x:c>
      <x:c r="U122" s="1" t="str">
        <x:v>Completed</x:v>
      </x:c>
    </x:row>
    <x:row r="123">
      <x:c r="A123" s="1" t="str">
        <x:v>PUB-0122</x:v>
      </x:c>
      <x:c r="B123" s="5" t="n">
        <x:v>45950</x:v>
      </x:c>
      <x:c r="C123" s="5" t="n">
        <x:v>45966</x:v>
      </x:c>
      <x:c r="D123" s="5" t="n">
        <x:v>45956</x:v>
      </x:c>
      <x:c r="E123" s="1" t="str">
        <x:v>Design</x:v>
      </x:c>
      <x:c r="F123" s="1" t="str">
        <x:v>E-book</x:v>
      </x:c>
      <x:c r="G123" s="1" t="str">
        <x:v>Medium</x:v>
      </x:c>
      <x:c r="H123" s="1" t="str">
        <x:v>AI-Assisted</x:v>
      </x:c>
      <x:c r="I123" s="1" t="str">
        <x:v>Visual Brief</x:v>
      </x:c>
      <x:c r="J123" s="1" t="n">
        <x:v>194</x:v>
      </x:c>
      <x:c r="K123" s="6" t="n">
        <x:v>42.7</x:v>
      </x:c>
      <x:c r="L123" s="6" t="n">
        <x:v>87.1</x:v>
      </x:c>
      <x:c r="M123" s="6" t="n">
        <x:v>44.4</x:v>
      </x:c>
      <x:c r="N123" s="6" t="n">
        <x:v>28847.22</x:v>
      </x:c>
      <x:c r="O123" s="6" t="n">
        <x:v>58809.74</x:v>
      </x:c>
      <x:c r="P123" s="6" t="n">
        <x:v>29962.52</x:v>
      </x:c>
      <x:c r="Q123" s="1" t="n">
        <x:v>0</x:v>
      </x:c>
      <x:c r="R123" s="1" t="str">
        <x:v>Yes</x:v>
      </x:c>
      <x:c r="S123" s="7" t="n">
        <x:v>90.3</x:v>
      </x:c>
      <x:c r="T123" s="1" t="str">
        <x:v>Yes</x:v>
      </x:c>
      <x:c r="U123" s="1" t="str">
        <x:v>Completed</x:v>
      </x:c>
    </x:row>
    <x:row r="124">
      <x:c r="A124" s="1" t="str">
        <x:v>PUB-0123</x:v>
      </x:c>
      <x:c r="B124" s="5" t="n">
        <x:v>46053</x:v>
      </x:c>
      <x:c r="C124" s="5" t="n">
        <x:v>46061</x:v>
      </x:c>
      <x:c r="D124" s="5" t="n">
        <x:v>46054</x:v>
      </x:c>
      <x:c r="E124" s="1" t="str">
        <x:v>Design</x:v>
      </x:c>
      <x:c r="F124" s="1" t="str">
        <x:v>Illustration</x:v>
      </x:c>
      <x:c r="G124" s="1" t="str">
        <x:v>Low</x:v>
      </x:c>
      <x:c r="H124" s="1" t="str">
        <x:v>AI-Assisted</x:v>
      </x:c>
      <x:c r="I124" s="1" t="str">
        <x:v>Visual Brief</x:v>
      </x:c>
      <x:c r="J124" s="1" t="n">
        <x:v>19</x:v>
      </x:c>
      <x:c r="K124" s="6" t="n">
        <x:v>3.4</x:v>
      </x:c>
      <x:c r="L124" s="6" t="n">
        <x:v>5.9</x:v>
      </x:c>
      <x:c r="M124" s="6" t="n">
        <x:v>2.5</x:v>
      </x:c>
      <x:c r="N124" s="6" t="n">
        <x:v>3887.54</x:v>
      </x:c>
      <x:c r="O124" s="6" t="n">
        <x:v>6791.97</x:v>
      </x:c>
      <x:c r="P124" s="6" t="n">
        <x:v>2904.43</x:v>
      </x:c>
      <x:c r="Q124" s="1" t="n">
        <x:v>0</x:v>
      </x:c>
      <x:c r="R124" s="1" t="str">
        <x:v>Yes</x:v>
      </x:c>
      <x:c r="S124" s="7" t="n">
        <x:v>87</x:v>
      </x:c>
      <x:c r="T124" s="1" t="str">
        <x:v>Yes</x:v>
      </x:c>
      <x:c r="U124" s="1" t="str">
        <x:v>Completed</x:v>
      </x:c>
    </x:row>
    <x:row r="125">
      <x:c r="A125" s="1" t="str">
        <x:v>PUB-0124</x:v>
      </x:c>
      <x:c r="B125" s="5" t="n">
        <x:v>45699</x:v>
      </x:c>
      <x:c r="C125" s="5" t="n">
        <x:v>45712</x:v>
      </x:c>
      <x:c r="D125" s="5" t="n">
        <x:v>45703</x:v>
      </x:c>
      <x:c r="E125" s="1" t="str">
        <x:v>Editorial</x:v>
      </x:c>
      <x:c r="F125" s="1" t="str">
        <x:v>School Textbook</x:v>
      </x:c>
      <x:c r="G125" s="1" t="str">
        <x:v>Low</x:v>
      </x:c>
      <x:c r="H125" s="1" t="str">
        <x:v>AI-Assisted</x:v>
      </x:c>
      <x:c r="I125" s="1" t="str">
        <x:v>Few-shot v2</x:v>
      </x:c>
      <x:c r="J125" s="1" t="n">
        <x:v>124</x:v>
      </x:c>
      <x:c r="K125" s="6" t="n">
        <x:v>29.1</x:v>
      </x:c>
      <x:c r="L125" s="6" t="n">
        <x:v>56.6</x:v>
      </x:c>
      <x:c r="M125" s="6" t="n">
        <x:v>27.5</x:v>
      </x:c>
      <x:c r="N125" s="6" t="n">
        <x:v>32466.42</x:v>
      </x:c>
      <x:c r="O125" s="6" t="n">
        <x:v>63129.66</x:v>
      </x:c>
      <x:c r="P125" s="6" t="n">
        <x:v>30663.24</x:v>
      </x:c>
      <x:c r="Q125" s="1" t="n">
        <x:v>0</x:v>
      </x:c>
      <x:c r="R125" s="1" t="str">
        <x:v>Yes</x:v>
      </x:c>
      <x:c r="S125" s="7" t="n">
        <x:v>91.3</x:v>
      </x:c>
      <x:c r="T125" s="1" t="str">
        <x:v>Yes</x:v>
      </x:c>
      <x:c r="U125" s="1" t="str">
        <x:v>Completed</x:v>
      </x:c>
    </x:row>
    <x:row r="126">
      <x:c r="A126" s="1" t="str">
        <x:v>PUB-0125</x:v>
      </x:c>
      <x:c r="B126" s="5" t="n">
        <x:v>45964</x:v>
      </x:c>
      <x:c r="C126" s="5" t="n">
        <x:v>45974</x:v>
      </x:c>
      <x:c r="D126" s="5" t="n">
        <x:v>45965</x:v>
      </x:c>
      <x:c r="E126" s="1" t="str">
        <x:v>Production</x:v>
      </x:c>
      <x:c r="F126" s="1" t="str">
        <x:v>Assessment</x:v>
      </x:c>
      <x:c r="G126" s="1" t="str">
        <x:v>Medium</x:v>
      </x:c>
      <x:c r="H126" s="1" t="str">
        <x:v>AI-Assisted</x:v>
      </x:c>
      <x:c r="I126" s="1" t="str">
        <x:v>Few-shot v2</x:v>
      </x:c>
      <x:c r="J126" s="1" t="n">
        <x:v>42</x:v>
      </x:c>
      <x:c r="K126" s="6" t="n">
        <x:v>8.5</x:v>
      </x:c>
      <x:c r="L126" s="6" t="n">
        <x:v>15.3</x:v>
      </x:c>
      <x:c r="M126" s="6" t="n">
        <x:v>6.8</x:v>
      </x:c>
      <x:c r="N126" s="6" t="n">
        <x:v>5990.82</x:v>
      </x:c>
      <x:c r="O126" s="6" t="n">
        <x:v>10764.96</x:v>
      </x:c>
      <x:c r="P126" s="6" t="n">
        <x:v>4774.14</x:v>
      </x:c>
      <x:c r="Q126" s="1" t="n">
        <x:v>0</x:v>
      </x:c>
      <x:c r="R126" s="1" t="str">
        <x:v>Yes</x:v>
      </x:c>
      <x:c r="S126" s="7" t="n">
        <x:v>84.8</x:v>
      </x:c>
      <x:c r="T126" s="1" t="str">
        <x:v>Yes</x:v>
      </x:c>
      <x:c r="U126" s="1" t="str">
        <x:v>Completed</x:v>
      </x:c>
    </x:row>
    <x:row r="127">
      <x:c r="A127" s="1" t="str">
        <x:v>PUB-0126</x:v>
      </x:c>
      <x:c r="B127" s="5" t="n">
        <x:v>46143</x:v>
      </x:c>
      <x:c r="C127" s="5" t="n">
        <x:v>46153</x:v>
      </x:c>
      <x:c r="D127" s="5" t="n">
        <x:v>46145</x:v>
      </x:c>
      <x:c r="E127" s="1" t="str">
        <x:v>Editorial</x:v>
      </x:c>
      <x:c r="F127" s="1" t="str">
        <x:v>Assessment</x:v>
      </x:c>
      <x:c r="G127" s="1" t="str">
        <x:v>Medium</x:v>
      </x:c>
      <x:c r="H127" s="1" t="str">
        <x:v>Manual</x:v>
      </x:c>
      <x:c r="I127" s="1" t="str">
        <x:v>Manual / NA</x:v>
      </x:c>
      <x:c r="J127" s="1" t="n">
        <x:v>33</x:v>
      </x:c>
      <x:c r="K127" s="6" t="n">
        <x:v>14.7</x:v>
      </x:c>
      <x:c r="L127" s="6" t="n">
        <x:v>16.1</x:v>
      </x:c>
      <x:c r="M127" s="6" t="n">
        <x:v>1.4</x:v>
      </x:c>
      <x:c r="N127" s="6" t="n">
        <x:v>14178.34</x:v>
      </x:c>
      <x:c r="O127" s="6" t="n">
        <x:v>15544.45</x:v>
      </x:c>
      <x:c r="P127" s="6" t="n">
        <x:v>1366.11</x:v>
      </x:c>
      <x:c r="Q127" s="1" t="n">
        <x:v>0</x:v>
      </x:c>
      <x:c r="R127" s="1" t="str">
        <x:v>Yes</x:v>
      </x:c>
      <x:c r="S127" s="7" t="n">
        <x:v>96</x:v>
      </x:c>
      <x:c r="T127" s="1" t="str">
        <x:v>Yes</x:v>
      </x:c>
      <x:c r="U127" s="1" t="str">
        <x:v>Completed</x:v>
      </x:c>
    </x:row>
    <x:row r="128">
      <x:c r="A128" s="1" t="str">
        <x:v>PUB-0127</x:v>
      </x:c>
      <x:c r="B128" s="5" t="n">
        <x:v>45906</x:v>
      </x:c>
      <x:c r="C128" s="5" t="n">
        <x:v>45918</x:v>
      </x:c>
      <x:c r="D128" s="5" t="n">
        <x:v>45909</x:v>
      </x:c>
      <x:c r="E128" s="1" t="str">
        <x:v>Editorial</x:v>
      </x:c>
      <x:c r="F128" s="1" t="str">
        <x:v>E-book</x:v>
      </x:c>
      <x:c r="G128" s="1" t="str">
        <x:v>Medium</x:v>
      </x:c>
      <x:c r="H128" s="1" t="str">
        <x:v>AI-Assisted</x:v>
      </x:c>
      <x:c r="I128" s="1" t="str">
        <x:v>Structured v3</x:v>
      </x:c>
      <x:c r="J128" s="1" t="n">
        <x:v>88</x:v>
      </x:c>
      <x:c r="K128" s="6" t="n">
        <x:v>21</x:v>
      </x:c>
      <x:c r="L128" s="6" t="n">
        <x:v>39.7</x:v>
      </x:c>
      <x:c r="M128" s="6" t="n">
        <x:v>18.7</x:v>
      </x:c>
      <x:c r="N128" s="6" t="n">
        <x:v>18919.1</x:v>
      </x:c>
      <x:c r="O128" s="6" t="n">
        <x:v>35743.51</x:v>
      </x:c>
      <x:c r="P128" s="6" t="n">
        <x:v>16824.41</x:v>
      </x:c>
      <x:c r="Q128" s="1" t="n">
        <x:v>0</x:v>
      </x:c>
      <x:c r="R128" s="1" t="str">
        <x:v>Yes</x:v>
      </x:c>
      <x:c r="S128" s="7" t="n">
        <x:v>78.5</x:v>
      </x:c>
      <x:c r="T128" s="1" t="str">
        <x:v>Yes</x:v>
      </x:c>
      <x:c r="U128" s="1" t="str">
        <x:v>Completed</x:v>
      </x:c>
    </x:row>
    <x:row r="129">
      <x:c r="A129" s="1" t="str">
        <x:v>PUB-0128</x:v>
      </x:c>
      <x:c r="B129" s="5" t="n">
        <x:v>46189</x:v>
      </x:c>
      <x:c r="C129" s="5" t="n">
        <x:v>46204</x:v>
      </x:c>
      <x:c r="D129" s="5" t="n">
        <x:v>46193</x:v>
      </x:c>
      <x:c r="E129" s="1" t="str">
        <x:v>Editorial</x:v>
      </x:c>
      <x:c r="F129" s="1" t="str">
        <x:v>Workbook</x:v>
      </x:c>
      <x:c r="G129" s="1" t="str">
        <x:v>High</x:v>
      </x:c>
      <x:c r="H129" s="1" t="str">
        <x:v>AI-Assisted</x:v>
      </x:c>
      <x:c r="I129" s="1" t="str">
        <x:v>Few-shot v2</x:v>
      </x:c>
      <x:c r="J129" s="1" t="n">
        <x:v>88</x:v>
      </x:c>
      <x:c r="K129" s="6" t="n">
        <x:v>32.6</x:v>
      </x:c>
      <x:c r="L129" s="6" t="n">
        <x:v>53.6</x:v>
      </x:c>
      <x:c r="M129" s="6" t="n">
        <x:v>21</x:v>
      </x:c>
      <x:c r="N129" s="6" t="n">
        <x:v>30094.25</x:v>
      </x:c>
      <x:c r="O129" s="6" t="n">
        <x:v>49447.25</x:v>
      </x:c>
      <x:c r="P129" s="6" t="n">
        <x:v>19353</x:v>
      </x:c>
      <x:c r="Q129" s="1" t="n">
        <x:v>0</x:v>
      </x:c>
      <x:c r="R129" s="1" t="str">
        <x:v>Yes</x:v>
      </x:c>
      <x:c r="S129" s="7" t="n">
        <x:v>90.9</x:v>
      </x:c>
      <x:c r="T129" s="1" t="str">
        <x:v>Yes</x:v>
      </x:c>
      <x:c r="U129" s="1" t="str">
        <x:v>Completed</x:v>
      </x:c>
    </x:row>
    <x:row r="130">
      <x:c r="A130" s="1" t="str">
        <x:v>PUB-0129</x:v>
      </x:c>
      <x:c r="B130" s="5" t="n">
        <x:v>45928</x:v>
      </x:c>
      <x:c r="C130" s="5" t="n">
        <x:v>45941</x:v>
      </x:c>
      <x:c r="D130" s="5" t="n">
        <x:v>45932</x:v>
      </x:c>
      <x:c r="E130" s="1" t="str">
        <x:v>Production</x:v>
      </x:c>
      <x:c r="F130" s="1" t="str">
        <x:v>School Textbook</x:v>
      </x:c>
      <x:c r="G130" s="1" t="str">
        <x:v>High</x:v>
      </x:c>
      <x:c r="H130" s="1" t="str">
        <x:v>AI-Assisted</x:v>
      </x:c>
      <x:c r="I130" s="1" t="str">
        <x:v>Few-shot v2</x:v>
      </x:c>
      <x:c r="J130" s="1" t="n">
        <x:v>65</x:v>
      </x:c>
      <x:c r="K130" s="6" t="n">
        <x:v>32.9</x:v>
      </x:c>
      <x:c r="L130" s="6" t="n">
        <x:v>49.4</x:v>
      </x:c>
      <x:c r="M130" s="6" t="n">
        <x:v>16.5</x:v>
      </x:c>
      <x:c r="N130" s="6" t="n">
        <x:v>32980.62</x:v>
      </x:c>
      <x:c r="O130" s="6" t="n">
        <x:v>49550.27</x:v>
      </x:c>
      <x:c r="P130" s="6" t="n">
        <x:v>16569.65</x:v>
      </x:c>
      <x:c r="Q130" s="1" t="n">
        <x:v>0</x:v>
      </x:c>
      <x:c r="R130" s="1" t="str">
        <x:v>Yes</x:v>
      </x:c>
      <x:c r="S130" s="7" t="n">
        <x:v>82.7</x:v>
      </x:c>
      <x:c r="T130" s="1" t="str">
        <x:v>Yes</x:v>
      </x:c>
      <x:c r="U130" s="1" t="str">
        <x:v>Completed</x:v>
      </x:c>
    </x:row>
    <x:row r="131">
      <x:c r="A131" s="1" t="str">
        <x:v>PUB-0130</x:v>
      </x:c>
      <x:c r="B131" s="5" t="n">
        <x:v>45782</x:v>
      </x:c>
      <x:c r="C131" s="5" t="n">
        <x:v>45791</x:v>
      </x:c>
      <x:c r="D131" s="5" t="n">
        <x:v>45792</x:v>
      </x:c>
      <x:c r="E131" s="1" t="str">
        <x:v>Production</x:v>
      </x:c>
      <x:c r="F131" s="1" t="str">
        <x:v>Assessment</x:v>
      </x:c>
      <x:c r="G131" s="1" t="str">
        <x:v>High</x:v>
      </x:c>
      <x:c r="H131" s="1" t="str">
        <x:v>Manual</x:v>
      </x:c>
      <x:c r="I131" s="1" t="str">
        <x:v>Manual / NA</x:v>
      </x:c>
      <x:c r="J131" s="1" t="n">
        <x:v>54</x:v>
      </x:c>
      <x:c r="K131" s="6" t="n">
        <x:v>42.3</x:v>
      </x:c>
      <x:c r="L131" s="6" t="n">
        <x:v>40.6</x:v>
      </x:c>
      <x:c r="M131" s="6" t="n">
        <x:v>0</x:v>
      </x:c>
      <x:c r="N131" s="6" t="n">
        <x:v>33638.07</x:v>
      </x:c>
      <x:c r="O131" s="6" t="n">
        <x:v>32310.52</x:v>
      </x:c>
      <x:c r="P131" s="6" t="n">
        <x:v>0</x:v>
      </x:c>
      <x:c r="Q131" s="1" t="n">
        <x:v>2</x:v>
      </x:c>
      <x:c r="R131" s="1" t="str">
        <x:v>No</x:v>
      </x:c>
      <x:c r="S131" s="7" t="n">
        <x:v>82.2</x:v>
      </x:c>
      <x:c r="T131" s="1" t="str">
        <x:v>No</x:v>
      </x:c>
      <x:c r="U131" s="1" t="str">
        <x:v>Completed</x:v>
      </x:c>
    </x:row>
    <x:row r="132">
      <x:c r="A132" s="1" t="str">
        <x:v>PUB-0131</x:v>
      </x:c>
      <x:c r="B132" s="5" t="n">
        <x:v>46148</x:v>
      </x:c>
      <x:c r="C132" s="5" t="n">
        <x:v>46152</x:v>
      </x:c>
      <x:c r="D132" s="5" t="n">
        <x:v>46149</x:v>
      </x:c>
      <x:c r="E132" s="1" t="str">
        <x:v>Editorial</x:v>
      </x:c>
      <x:c r="F132" s="1" t="str">
        <x:v>Illustration</x:v>
      </x:c>
      <x:c r="G132" s="1" t="str">
        <x:v>Low</x:v>
      </x:c>
      <x:c r="H132" s="1" t="str">
        <x:v>AI-Assisted</x:v>
      </x:c>
      <x:c r="I132" s="1" t="str">
        <x:v>Few-shot v2</x:v>
      </x:c>
      <x:c r="J132" s="1" t="n">
        <x:v>38</x:v>
      </x:c>
      <x:c r="K132" s="6" t="n">
        <x:v>9.6</x:v>
      </x:c>
      <x:c r="L132" s="6" t="n">
        <x:v>15.4</x:v>
      </x:c>
      <x:c r="M132" s="6" t="n">
        <x:v>5.8</x:v>
      </x:c>
      <x:c r="N132" s="6" t="n">
        <x:v>7403.8</x:v>
      </x:c>
      <x:c r="O132" s="6" t="n">
        <x:v>11906.38</x:v>
      </x:c>
      <x:c r="P132" s="6" t="n">
        <x:v>4502.58</x:v>
      </x:c>
      <x:c r="Q132" s="1" t="n">
        <x:v>0</x:v>
      </x:c>
      <x:c r="R132" s="1" t="str">
        <x:v>Yes</x:v>
      </x:c>
      <x:c r="S132" s="7" t="n">
        <x:v>81.3</x:v>
      </x:c>
      <x:c r="T132" s="1" t="str">
        <x:v>Yes</x:v>
      </x:c>
      <x:c r="U132" s="1" t="str">
        <x:v>Completed</x:v>
      </x:c>
    </x:row>
    <x:row r="133">
      <x:c r="A133" s="1" t="str">
        <x:v>PUB-0132</x:v>
      </x:c>
      <x:c r="B133" s="5" t="n">
        <x:v>46141</x:v>
      </x:c>
      <x:c r="C133" s="5" t="n">
        <x:v>46147</x:v>
      </x:c>
      <x:c r="D133" s="5" t="n">
        <x:v>46142</x:v>
      </x:c>
      <x:c r="E133" s="1" t="str">
        <x:v>Editorial</x:v>
      </x:c>
      <x:c r="F133" s="1" t="str">
        <x:v>Illustration</x:v>
      </x:c>
      <x:c r="G133" s="1" t="str">
        <x:v>Medium</x:v>
      </x:c>
      <x:c r="H133" s="1" t="str">
        <x:v>AI-Assisted</x:v>
      </x:c>
      <x:c r="I133" s="1" t="str">
        <x:v>Few-shot v2</x:v>
      </x:c>
      <x:c r="J133" s="1" t="n">
        <x:v>24</x:v>
      </x:c>
      <x:c r="K133" s="6" t="n">
        <x:v>9.4</x:v>
      </x:c>
      <x:c r="L133" s="6" t="n">
        <x:v>13.6</x:v>
      </x:c>
      <x:c r="M133" s="6" t="n">
        <x:v>4.2</x:v>
      </x:c>
      <x:c r="N133" s="6" t="n">
        <x:v>8354.01</x:v>
      </x:c>
      <x:c r="O133" s="6" t="n">
        <x:v>12066.18</x:v>
      </x:c>
      <x:c r="P133" s="6" t="n">
        <x:v>3712.17</x:v>
      </x:c>
      <x:c r="Q133" s="1" t="n">
        <x:v>0</x:v>
      </x:c>
      <x:c r="R133" s="1" t="str">
        <x:v>Yes</x:v>
      </x:c>
      <x:c r="S133" s="7" t="n">
        <x:v>87.5</x:v>
      </x:c>
      <x:c r="T133" s="1" t="str">
        <x:v>Yes</x:v>
      </x:c>
      <x:c r="U133" s="1" t="str">
        <x:v>Completed</x:v>
      </x:c>
    </x:row>
    <x:row r="134">
      <x:c r="A134" s="1" t="str">
        <x:v>PUB-0133</x:v>
      </x:c>
      <x:c r="B134" s="5" t="n">
        <x:v>45718</x:v>
      </x:c>
      <x:c r="C134" s="5" t="n">
        <x:v>45739</x:v>
      </x:c>
      <x:c r="D134" s="5" t="n">
        <x:v>45727</x:v>
      </x:c>
      <x:c r="E134" s="1" t="str">
        <x:v>Digital Learning</x:v>
      </x:c>
      <x:c r="F134" s="1" t="str">
        <x:v>School Textbook</x:v>
      </x:c>
      <x:c r="G134" s="1" t="str">
        <x:v>High</x:v>
      </x:c>
      <x:c r="H134" s="1" t="str">
        <x:v>AI-Assisted</x:v>
      </x:c>
      <x:c r="I134" s="1" t="str">
        <x:v>Few-shot v2</x:v>
      </x:c>
      <x:c r="J134" s="1" t="n">
        <x:v>193</x:v>
      </x:c>
      <x:c r="K134" s="6" t="n">
        <x:v>65.8</x:v>
      </x:c>
      <x:c r="L134" s="6" t="n">
        <x:v>93.8</x:v>
      </x:c>
      <x:c r="M134" s="6" t="n">
        <x:v>28</x:v>
      </x:c>
      <x:c r="N134" s="6" t="n">
        <x:v>56518.42</x:v>
      </x:c>
      <x:c r="O134" s="6" t="n">
        <x:v>80572.29</x:v>
      </x:c>
      <x:c r="P134" s="6" t="n">
        <x:v>24053.87</x:v>
      </x:c>
      <x:c r="Q134" s="1" t="n">
        <x:v>0</x:v>
      </x:c>
      <x:c r="R134" s="1" t="str">
        <x:v>Yes</x:v>
      </x:c>
      <x:c r="S134" s="7" t="n">
        <x:v>90.4</x:v>
      </x:c>
      <x:c r="T134" s="1" t="str">
        <x:v>Yes</x:v>
      </x:c>
      <x:c r="U134" s="1" t="str">
        <x:v>Completed</x:v>
      </x:c>
    </x:row>
    <x:row r="135">
      <x:c r="A135" s="1" t="str">
        <x:v>PUB-0134</x:v>
      </x:c>
      <x:c r="B135" s="5" t="n">
        <x:v>45848</x:v>
      </x:c>
      <x:c r="C135" s="5" t="n">
        <x:v>45857</x:v>
      </x:c>
      <x:c r="D135" s="5" t="n">
        <x:v>45849</x:v>
      </x:c>
      <x:c r="E135" s="1" t="str">
        <x:v>Digital Learning</x:v>
      </x:c>
      <x:c r="F135" s="1" t="str">
        <x:v>E-book</x:v>
      </x:c>
      <x:c r="G135" s="1" t="str">
        <x:v>Low</x:v>
      </x:c>
      <x:c r="H135" s="1" t="str">
        <x:v>Manual</x:v>
      </x:c>
      <x:c r="I135" s="1" t="str">
        <x:v>Manual / NA</x:v>
      </x:c>
      <x:c r="J135" s="1" t="n">
        <x:v>17</x:v>
      </x:c>
      <x:c r="K135" s="6" t="n">
        <x:v>6.1</x:v>
      </x:c>
      <x:c r="L135" s="6" t="n">
        <x:v>6.8</x:v>
      </x:c>
      <x:c r="M135" s="6" t="n">
        <x:v>0.7</x:v>
      </x:c>
      <x:c r="N135" s="6" t="n">
        <x:v>6963.13</x:v>
      </x:c>
      <x:c r="O135" s="6" t="n">
        <x:v>7716.78</x:v>
      </x:c>
      <x:c r="P135" s="6" t="n">
        <x:v>753.65</x:v>
      </x:c>
      <x:c r="Q135" s="1" t="n">
        <x:v>0</x:v>
      </x:c>
      <x:c r="R135" s="1" t="str">
        <x:v>Yes</x:v>
      </x:c>
      <x:c r="S135" s="7" t="n">
        <x:v>84.4</x:v>
      </x:c>
      <x:c r="T135" s="1" t="str">
        <x:v>Yes</x:v>
      </x:c>
      <x:c r="U135" s="1" t="str">
        <x:v>Completed</x:v>
      </x:c>
    </x:row>
    <x:row r="136">
      <x:c r="A136" s="1" t="str">
        <x:v>PUB-0135</x:v>
      </x:c>
      <x:c r="B136" s="5" t="n">
        <x:v>45795</x:v>
      </x:c>
      <x:c r="C136" s="5" t="n">
        <x:v>45801</x:v>
      </x:c>
      <x:c r="D136" s="5" t="n">
        <x:v>45797</x:v>
      </x:c>
      <x:c r="E136" s="1" t="str">
        <x:v>Digital Learning</x:v>
      </x:c>
      <x:c r="F136" s="1" t="str">
        <x:v>Workbook</x:v>
      </x:c>
      <x:c r="G136" s="1" t="str">
        <x:v>Medium</x:v>
      </x:c>
      <x:c r="H136" s="1" t="str">
        <x:v>AI-Assisted</x:v>
      </x:c>
      <x:c r="I136" s="1" t="str">
        <x:v>Structured v3</x:v>
      </x:c>
      <x:c r="J136" s="1" t="n">
        <x:v>49</x:v>
      </x:c>
      <x:c r="K136" s="6" t="n">
        <x:v>16.1</x:v>
      </x:c>
      <x:c r="L136" s="6" t="n">
        <x:v>24.6</x:v>
      </x:c>
      <x:c r="M136" s="6" t="n">
        <x:v>8.5</x:v>
      </x:c>
      <x:c r="N136" s="6" t="n">
        <x:v>10578.38</x:v>
      </x:c>
      <x:c r="O136" s="6" t="n">
        <x:v>16181.97</x:v>
      </x:c>
      <x:c r="P136" s="6" t="n">
        <x:v>5603.59</x:v>
      </x:c>
      <x:c r="Q136" s="1" t="n">
        <x:v>0</x:v>
      </x:c>
      <x:c r="R136" s="1" t="str">
        <x:v>Yes</x:v>
      </x:c>
      <x:c r="S136" s="7" t="n">
        <x:v>86.7</x:v>
      </x:c>
      <x:c r="T136" s="1" t="str">
        <x:v>Yes</x:v>
      </x:c>
      <x:c r="U136" s="1" t="str">
        <x:v>Completed</x:v>
      </x:c>
    </x:row>
    <x:row r="137">
      <x:c r="A137" s="1" t="str">
        <x:v>PUB-0136</x:v>
      </x:c>
      <x:c r="B137" s="5" t="n">
        <x:v>46073</x:v>
      </x:c>
      <x:c r="C137" s="5" t="n">
        <x:v>46080</x:v>
      </x:c>
      <x:c r="D137" s="5" t="str"/>
      <x:c r="E137" s="1" t="str">
        <x:v>Digital Learning</x:v>
      </x:c>
      <x:c r="F137" s="1" t="str">
        <x:v>Assessment</x:v>
      </x:c>
      <x:c r="G137" s="1" t="str">
        <x:v>High</x:v>
      </x:c>
      <x:c r="H137" s="1" t="str">
        <x:v>AI-Assisted</x:v>
      </x:c>
      <x:c r="I137" s="1" t="str">
        <x:v>Editorial QA</x:v>
      </x:c>
      <x:c r="J137" s="1" t="n">
        <x:v>27</x:v>
      </x:c>
      <x:c r="K137" s="6" t="n">
        <x:v>11.7</x:v>
      </x:c>
      <x:c r="L137" s="6" t="n">
        <x:v>16.6</x:v>
      </x:c>
      <x:c r="M137" s="6" t="n">
        <x:v>4.9</x:v>
      </x:c>
      <x:c r="N137" s="6" t="n">
        <x:v>7644.96</x:v>
      </x:c>
      <x:c r="O137" s="6" t="n">
        <x:v>10829.72</x:v>
      </x:c>
      <x:c r="P137" s="6" t="n">
        <x:v>3184.76</x:v>
      </x:c>
      <x:c r="Q137" s="1" t="n">
        <x:v>0</x:v>
      </x:c>
      <x:c r="R137" s="1" t="str"/>
      <x:c r="S137" s="7" t="n">
        <x:v>96.9</x:v>
      </x:c>
      <x:c r="T137" s="1" t="str"/>
      <x:c r="U137" s="1" t="str">
        <x:v>In Progress</x:v>
      </x:c>
    </x:row>
    <x:row r="138">
      <x:c r="A138" s="1" t="str">
        <x:v>PUB-0137</x:v>
      </x:c>
      <x:c r="B138" s="5" t="n">
        <x:v>45967</x:v>
      </x:c>
      <x:c r="C138" s="5" t="n">
        <x:v>45973</x:v>
      </x:c>
      <x:c r="D138" s="5" t="n">
        <x:v>45968</x:v>
      </x:c>
      <x:c r="E138" s="1" t="str">
        <x:v>Production</x:v>
      </x:c>
      <x:c r="F138" s="1" t="str">
        <x:v>Assessment</x:v>
      </x:c>
      <x:c r="G138" s="1" t="str">
        <x:v>Low</x:v>
      </x:c>
      <x:c r="H138" s="1" t="str">
        <x:v>AI-Assisted</x:v>
      </x:c>
      <x:c r="I138" s="1" t="str">
        <x:v>Few-shot v2</x:v>
      </x:c>
      <x:c r="J138" s="1" t="n">
        <x:v>34</x:v>
      </x:c>
      <x:c r="K138" s="6" t="n">
        <x:v>6</x:v>
      </x:c>
      <x:c r="L138" s="6" t="n">
        <x:v>10.8</x:v>
      </x:c>
      <x:c r="M138" s="6" t="n">
        <x:v>4.8</x:v>
      </x:c>
      <x:c r="N138" s="6" t="n">
        <x:v>5116.25</x:v>
      </x:c>
      <x:c r="O138" s="6" t="n">
        <x:v>9176.8</x:v>
      </x:c>
      <x:c r="P138" s="6" t="n">
        <x:v>4060.55</x:v>
      </x:c>
      <x:c r="Q138" s="1" t="n">
        <x:v>0</x:v>
      </x:c>
      <x:c r="R138" s="1" t="str">
        <x:v>Yes</x:v>
      </x:c>
      <x:c r="S138" s="7" t="n">
        <x:v>95.8</x:v>
      </x:c>
      <x:c r="T138" s="1" t="str">
        <x:v>Yes</x:v>
      </x:c>
      <x:c r="U138" s="1" t="str">
        <x:v>Completed</x:v>
      </x:c>
    </x:row>
    <x:row r="139">
      <x:c r="A139" s="1" t="str">
        <x:v>PUB-0138</x:v>
      </x:c>
      <x:c r="B139" s="5" t="n">
        <x:v>45960</x:v>
      </x:c>
      <x:c r="C139" s="5" t="n">
        <x:v>45972</x:v>
      </x:c>
      <x:c r="D139" s="5" t="n">
        <x:v>45967</x:v>
      </x:c>
      <x:c r="E139" s="1" t="str">
        <x:v>Design</x:v>
      </x:c>
      <x:c r="F139" s="1" t="str">
        <x:v>School Textbook</x:v>
      </x:c>
      <x:c r="G139" s="1" t="str">
        <x:v>Low</x:v>
      </x:c>
      <x:c r="H139" s="1" t="str">
        <x:v>Manual</x:v>
      </x:c>
      <x:c r="I139" s="1" t="str">
        <x:v>Manual / NA</x:v>
      </x:c>
      <x:c r="J139" s="1" t="n">
        <x:v>130</x:v>
      </x:c>
      <x:c r="K139" s="6" t="n">
        <x:v>56</x:v>
      </x:c>
      <x:c r="L139" s="6" t="n">
        <x:v>55.9</x:v>
      </x:c>
      <x:c r="M139" s="6" t="n">
        <x:v>0</x:v>
      </x:c>
      <x:c r="N139" s="6" t="n">
        <x:v>48043.68</x:v>
      </x:c>
      <x:c r="O139" s="6" t="n">
        <x:v>47968.07</x:v>
      </x:c>
      <x:c r="P139" s="6" t="n">
        <x:v>0</x:v>
      </x:c>
      <x:c r="Q139" s="1" t="n">
        <x:v>0</x:v>
      </x:c>
      <x:c r="R139" s="1" t="str">
        <x:v>Yes</x:v>
      </x:c>
      <x:c r="S139" s="7" t="n">
        <x:v>79.7</x:v>
      </x:c>
      <x:c r="T139" s="1" t="str">
        <x:v>Yes</x:v>
      </x:c>
      <x:c r="U139" s="1" t="str">
        <x:v>Completed</x:v>
      </x:c>
    </x:row>
    <x:row r="140">
      <x:c r="A140" s="1" t="str">
        <x:v>PUB-0139</x:v>
      </x:c>
      <x:c r="B140" s="5" t="n">
        <x:v>45881</x:v>
      </x:c>
      <x:c r="C140" s="5" t="n">
        <x:v>45891</x:v>
      </x:c>
      <x:c r="D140" s="5" t="n">
        <x:v>45884</x:v>
      </x:c>
      <x:c r="E140" s="1" t="str">
        <x:v>Production</x:v>
      </x:c>
      <x:c r="F140" s="1" t="str">
        <x:v>Illustration</x:v>
      </x:c>
      <x:c r="G140" s="1" t="str">
        <x:v>Medium</x:v>
      </x:c>
      <x:c r="H140" s="1" t="str">
        <x:v>AI-Assisted</x:v>
      </x:c>
      <x:c r="I140" s="1" t="str">
        <x:v>Editorial QA</x:v>
      </x:c>
      <x:c r="J140" s="1" t="n">
        <x:v>61</x:v>
      </x:c>
      <x:c r="K140" s="6" t="n">
        <x:v>18.8</x:v>
      </x:c>
      <x:c r="L140" s="6" t="n">
        <x:v>26.8</x:v>
      </x:c>
      <x:c r="M140" s="6" t="n">
        <x:v>8</x:v>
      </x:c>
      <x:c r="N140" s="6" t="n">
        <x:v>13274.76</x:v>
      </x:c>
      <x:c r="O140" s="6" t="n">
        <x:v>18934.3</x:v>
      </x:c>
      <x:c r="P140" s="6" t="n">
        <x:v>5659.54</x:v>
      </x:c>
      <x:c r="Q140" s="1" t="n">
        <x:v>0</x:v>
      </x:c>
      <x:c r="R140" s="1" t="str">
        <x:v>Yes</x:v>
      </x:c>
      <x:c r="S140" s="7" t="n">
        <x:v>92</x:v>
      </x:c>
      <x:c r="T140" s="1" t="str">
        <x:v>Yes</x:v>
      </x:c>
      <x:c r="U140" s="1" t="str">
        <x:v>Completed</x:v>
      </x:c>
    </x:row>
    <x:row r="141">
      <x:c r="A141" s="1" t="str">
        <x:v>PUB-0140</x:v>
      </x:c>
      <x:c r="B141" s="5" t="n">
        <x:v>46190</x:v>
      </x:c>
      <x:c r="C141" s="5" t="n">
        <x:v>46199</x:v>
      </x:c>
      <x:c r="D141" s="5" t="n">
        <x:v>46192</x:v>
      </x:c>
      <x:c r="E141" s="1" t="str">
        <x:v>Design</x:v>
      </x:c>
      <x:c r="F141" s="1" t="str">
        <x:v>Illustration</x:v>
      </x:c>
      <x:c r="G141" s="1" t="str">
        <x:v>Medium</x:v>
      </x:c>
      <x:c r="H141" s="1" t="str">
        <x:v>AI-Assisted</x:v>
      </x:c>
      <x:c r="I141" s="1" t="str">
        <x:v>Few-shot v2</x:v>
      </x:c>
      <x:c r="J141" s="1" t="n">
        <x:v>69</x:v>
      </x:c>
      <x:c r="K141" s="6" t="n">
        <x:v>13.1</x:v>
      </x:c>
      <x:c r="L141" s="6" t="n">
        <x:v>25.7</x:v>
      </x:c>
      <x:c r="M141" s="6" t="n">
        <x:v>12.6</x:v>
      </x:c>
      <x:c r="N141" s="6" t="n">
        <x:v>11236.03</x:v>
      </x:c>
      <x:c r="O141" s="6" t="n">
        <x:v>22029.96</x:v>
      </x:c>
      <x:c r="P141" s="6" t="n">
        <x:v>10793.93</x:v>
      </x:c>
      <x:c r="Q141" s="1" t="n">
        <x:v>0</x:v>
      </x:c>
      <x:c r="R141" s="1" t="str">
        <x:v>Yes</x:v>
      </x:c>
      <x:c r="S141" s="7" t="n">
        <x:v>86.9</x:v>
      </x:c>
      <x:c r="T141" s="1" t="str">
        <x:v>Yes</x:v>
      </x:c>
      <x:c r="U141" s="1" t="str">
        <x:v>Completed</x:v>
      </x:c>
    </x:row>
    <x:row r="142">
      <x:c r="A142" s="1" t="str">
        <x:v>PUB-0141</x:v>
      </x:c>
      <x:c r="B142" s="5" t="n">
        <x:v>45973</x:v>
      </x:c>
      <x:c r="C142" s="5" t="n">
        <x:v>45986</x:v>
      </x:c>
      <x:c r="D142" s="5" t="n">
        <x:v>45981</x:v>
      </x:c>
      <x:c r="E142" s="1" t="str">
        <x:v>Production</x:v>
      </x:c>
      <x:c r="F142" s="1" t="str">
        <x:v>Workbook</x:v>
      </x:c>
      <x:c r="G142" s="1" t="str">
        <x:v>Low</x:v>
      </x:c>
      <x:c r="H142" s="1" t="str">
        <x:v>Manual</x:v>
      </x:c>
      <x:c r="I142" s="1" t="str">
        <x:v>Manual / NA</x:v>
      </x:c>
      <x:c r="J142" s="1" t="n">
        <x:v>198</x:v>
      </x:c>
      <x:c r="K142" s="6" t="n">
        <x:v>58.9</x:v>
      </x:c>
      <x:c r="L142" s="6" t="n">
        <x:v>61.1</x:v>
      </x:c>
      <x:c r="M142" s="6" t="n">
        <x:v>2.2</x:v>
      </x:c>
      <x:c r="N142" s="6" t="n">
        <x:v>58911.33</x:v>
      </x:c>
      <x:c r="O142" s="6" t="n">
        <x:v>61069.91</x:v>
      </x:c>
      <x:c r="P142" s="6" t="n">
        <x:v>2158.58</x:v>
      </x:c>
      <x:c r="Q142" s="1" t="n">
        <x:v>0</x:v>
      </x:c>
      <x:c r="R142" s="1" t="str">
        <x:v>Yes</x:v>
      </x:c>
      <x:c r="S142" s="7" t="n">
        <x:v>95.8</x:v>
      </x:c>
      <x:c r="T142" s="1" t="str">
        <x:v>Yes</x:v>
      </x:c>
      <x:c r="U142" s="1" t="str">
        <x:v>Completed</x:v>
      </x:c>
    </x:row>
    <x:row r="143">
      <x:c r="A143" s="1" t="str">
        <x:v>PUB-0142</x:v>
      </x:c>
      <x:c r="B143" s="5" t="n">
        <x:v>45842</x:v>
      </x:c>
      <x:c r="C143" s="5" t="n">
        <x:v>45848</x:v>
      </x:c>
      <x:c r="D143" s="5" t="str"/>
      <x:c r="E143" s="1" t="str">
        <x:v>Production</x:v>
      </x:c>
      <x:c r="F143" s="1" t="str">
        <x:v>Illustration</x:v>
      </x:c>
      <x:c r="G143" s="1" t="str">
        <x:v>Medium</x:v>
      </x:c>
      <x:c r="H143" s="1" t="str">
        <x:v>Manual</x:v>
      </x:c>
      <x:c r="I143" s="1" t="str">
        <x:v>Manual / NA</x:v>
      </x:c>
      <x:c r="J143" s="1" t="n">
        <x:v>57</x:v>
      </x:c>
      <x:c r="K143" s="6" t="n">
        <x:v>30.7</x:v>
      </x:c>
      <x:c r="L143" s="6" t="n">
        <x:v>31.7</x:v>
      </x:c>
      <x:c r="M143" s="6" t="n">
        <x:v>1</x:v>
      </x:c>
      <x:c r="N143" s="6" t="n">
        <x:v>34032.72</x:v>
      </x:c>
      <x:c r="O143" s="6" t="n">
        <x:v>35138.31</x:v>
      </x:c>
      <x:c r="P143" s="6" t="n">
        <x:v>1105.59</x:v>
      </x:c>
      <x:c r="Q143" s="1" t="n">
        <x:v>0</x:v>
      </x:c>
      <x:c r="R143" s="1" t="str"/>
      <x:c r="S143" s="7" t="n">
        <x:v>89.3</x:v>
      </x:c>
      <x:c r="T143" s="1" t="str"/>
      <x:c r="U143" s="1" t="str">
        <x:v>In Progress</x:v>
      </x:c>
    </x:row>
    <x:row r="144">
      <x:c r="A144" s="1" t="str">
        <x:v>PUB-0143</x:v>
      </x:c>
      <x:c r="B144" s="5" t="n">
        <x:v>45794</x:v>
      </x:c>
      <x:c r="C144" s="5" t="n">
        <x:v>45808</x:v>
      </x:c>
      <x:c r="D144" s="5" t="n">
        <x:v>45800</x:v>
      </x:c>
      <x:c r="E144" s="1" t="str">
        <x:v>Production</x:v>
      </x:c>
      <x:c r="F144" s="1" t="str">
        <x:v>Workbook</x:v>
      </x:c>
      <x:c r="G144" s="1" t="str">
        <x:v>Low</x:v>
      </x:c>
      <x:c r="H144" s="1" t="str">
        <x:v>AI-Assisted</x:v>
      </x:c>
      <x:c r="I144" s="1" t="str">
        <x:v>Few-shot v2</x:v>
      </x:c>
      <x:c r="J144" s="1" t="n">
        <x:v>143</x:v>
      </x:c>
      <x:c r="K144" s="6" t="n">
        <x:v>45.9</x:v>
      </x:c>
      <x:c r="L144" s="6" t="n">
        <x:v>67.5</x:v>
      </x:c>
      <x:c r="M144" s="6" t="n">
        <x:v>21.6</x:v>
      </x:c>
      <x:c r="N144" s="6" t="n">
        <x:v>47189.32</x:v>
      </x:c>
      <x:c r="O144" s="6" t="n">
        <x:v>69356.93</x:v>
      </x:c>
      <x:c r="P144" s="6" t="n">
        <x:v>22167.61</x:v>
      </x:c>
      <x:c r="Q144" s="1" t="n">
        <x:v>0</x:v>
      </x:c>
      <x:c r="R144" s="1" t="str">
        <x:v>Yes</x:v>
      </x:c>
      <x:c r="S144" s="7" t="n">
        <x:v>80.5</x:v>
      </x:c>
      <x:c r="T144" s="1" t="str">
        <x:v>Yes</x:v>
      </x:c>
      <x:c r="U144" s="1" t="str">
        <x:v>Completed</x:v>
      </x:c>
    </x:row>
    <x:row r="145">
      <x:c r="A145" s="1" t="str">
        <x:v>PUB-0144</x:v>
      </x:c>
      <x:c r="B145" s="5" t="n">
        <x:v>45893</x:v>
      </x:c>
      <x:c r="C145" s="5" t="n">
        <x:v>45907</x:v>
      </x:c>
      <x:c r="D145" s="5" t="n">
        <x:v>45901</x:v>
      </x:c>
      <x:c r="E145" s="1" t="str">
        <x:v>Editorial</x:v>
      </x:c>
      <x:c r="F145" s="1" t="str">
        <x:v>Workbook</x:v>
      </x:c>
      <x:c r="G145" s="1" t="str">
        <x:v>High</x:v>
      </x:c>
      <x:c r="H145" s="1" t="str">
        <x:v>AI-Assisted</x:v>
      </x:c>
      <x:c r="I145" s="1" t="str">
        <x:v>Visual Brief</x:v>
      </x:c>
      <x:c r="J145" s="1" t="n">
        <x:v>193</x:v>
      </x:c>
      <x:c r="K145" s="6" t="n">
        <x:v>59.7</x:v>
      </x:c>
      <x:c r="L145" s="6" t="n">
        <x:v>93.5</x:v>
      </x:c>
      <x:c r="M145" s="6" t="n">
        <x:v>33.8</x:v>
      </x:c>
      <x:c r="N145" s="6" t="n">
        <x:v>57160.46</x:v>
      </x:c>
      <x:c r="O145" s="6" t="n">
        <x:v>89541.13</x:v>
      </x:c>
      <x:c r="P145" s="6" t="n">
        <x:v>32380.67</x:v>
      </x:c>
      <x:c r="Q145" s="1" t="n">
        <x:v>0</x:v>
      </x:c>
      <x:c r="R145" s="1" t="str">
        <x:v>Yes</x:v>
      </x:c>
      <x:c r="S145" s="7" t="n">
        <x:v>91</x:v>
      </x:c>
      <x:c r="T145" s="1" t="str">
        <x:v>Yes</x:v>
      </x:c>
      <x:c r="U145" s="1" t="str">
        <x:v>Completed</x:v>
      </x:c>
    </x:row>
    <x:row r="146">
      <x:c r="A146" s="1" t="str">
        <x:v>PUB-0145</x:v>
      </x:c>
      <x:c r="B146" s="5" t="n">
        <x:v>45761</x:v>
      </x:c>
      <x:c r="C146" s="5" t="n">
        <x:v>45769</x:v>
      </x:c>
      <x:c r="D146" s="5" t="n">
        <x:v>45763</x:v>
      </x:c>
      <x:c r="E146" s="1" t="str">
        <x:v>Production</x:v>
      </x:c>
      <x:c r="F146" s="1" t="str">
        <x:v>Workbook</x:v>
      </x:c>
      <x:c r="G146" s="1" t="str">
        <x:v>Medium</x:v>
      </x:c>
      <x:c r="H146" s="1" t="str">
        <x:v>AI-Assisted</x:v>
      </x:c>
      <x:c r="I146" s="1" t="str">
        <x:v>Visual Brief</x:v>
      </x:c>
      <x:c r="J146" s="1" t="n">
        <x:v>70</x:v>
      </x:c>
      <x:c r="K146" s="6" t="n">
        <x:v>16.8</x:v>
      </x:c>
      <x:c r="L146" s="6" t="n">
        <x:v>31.4</x:v>
      </x:c>
      <x:c r="M146" s="6" t="n">
        <x:v>14.6</x:v>
      </x:c>
      <x:c r="N146" s="6" t="n">
        <x:v>12745.06</x:v>
      </x:c>
      <x:c r="O146" s="6" t="n">
        <x:v>23817.25</x:v>
      </x:c>
      <x:c r="P146" s="6" t="n">
        <x:v>11072.19</x:v>
      </x:c>
      <x:c r="Q146" s="1" t="n">
        <x:v>0</x:v>
      </x:c>
      <x:c r="R146" s="1" t="str">
        <x:v>Yes</x:v>
      </x:c>
      <x:c r="S146" s="7" t="n">
        <x:v>95.1</x:v>
      </x:c>
      <x:c r="T146" s="1" t="str">
        <x:v>Yes</x:v>
      </x:c>
      <x:c r="U146" s="1" t="str">
        <x:v>Completed</x:v>
      </x:c>
    </x:row>
    <x:row r="147">
      <x:c r="A147" s="1" t="str">
        <x:v>PUB-0146</x:v>
      </x:c>
      <x:c r="B147" s="5" t="n">
        <x:v>45984</x:v>
      </x:c>
      <x:c r="C147" s="5" t="n">
        <x:v>45988</x:v>
      </x:c>
      <x:c r="D147" s="5" t="str"/>
      <x:c r="E147" s="1" t="str">
        <x:v>Production</x:v>
      </x:c>
      <x:c r="F147" s="1" t="str">
        <x:v>Illustration</x:v>
      </x:c>
      <x:c r="G147" s="1" t="str">
        <x:v>Medium</x:v>
      </x:c>
      <x:c r="H147" s="1" t="str">
        <x:v>Manual</x:v>
      </x:c>
      <x:c r="I147" s="1" t="str">
        <x:v>Manual / NA</x:v>
      </x:c>
      <x:c r="J147" s="1" t="n">
        <x:v>34</x:v>
      </x:c>
      <x:c r="K147" s="6" t="n">
        <x:v>13.5</x:v>
      </x:c>
      <x:c r="L147" s="6" t="n">
        <x:v>13.3</x:v>
      </x:c>
      <x:c r="M147" s="6" t="n">
        <x:v>0</x:v>
      </x:c>
      <x:c r="N147" s="6" t="n">
        <x:v>10267.04</x:v>
      </x:c>
      <x:c r="O147" s="6" t="n">
        <x:v>10123.75</x:v>
      </x:c>
      <x:c r="P147" s="6" t="n">
        <x:v>0</x:v>
      </x:c>
      <x:c r="Q147" s="1" t="n">
        <x:v>0</x:v>
      </x:c>
      <x:c r="R147" s="1" t="str"/>
      <x:c r="S147" s="7" t="n">
        <x:v>87.3</x:v>
      </x:c>
      <x:c r="T147" s="1" t="str"/>
      <x:c r="U147" s="1" t="str">
        <x:v>In Review</x:v>
      </x:c>
    </x:row>
    <x:row r="148">
      <x:c r="A148" s="1" t="str">
        <x:v>PUB-0147</x:v>
      </x:c>
      <x:c r="B148" s="5" t="n">
        <x:v>45837</x:v>
      </x:c>
      <x:c r="C148" s="5" t="n">
        <x:v>45857</x:v>
      </x:c>
      <x:c r="D148" s="5" t="n">
        <x:v>45845</x:v>
      </x:c>
      <x:c r="E148" s="1" t="str">
        <x:v>Production</x:v>
      </x:c>
      <x:c r="F148" s="1" t="str">
        <x:v>Workbook</x:v>
      </x:c>
      <x:c r="G148" s="1" t="str">
        <x:v>Medium</x:v>
      </x:c>
      <x:c r="H148" s="1" t="str">
        <x:v>AI-Assisted</x:v>
      </x:c>
      <x:c r="I148" s="1" t="str">
        <x:v>Visual Brief</x:v>
      </x:c>
      <x:c r="J148" s="1" t="n">
        <x:v>172</x:v>
      </x:c>
      <x:c r="K148" s="6" t="n">
        <x:v>51</x:v>
      </x:c>
      <x:c r="L148" s="6" t="n">
        <x:v>91.7</x:v>
      </x:c>
      <x:c r="M148" s="6" t="n">
        <x:v>40.7</x:v>
      </x:c>
      <x:c r="N148" s="6" t="n">
        <x:v>43766.28</x:v>
      </x:c>
      <x:c r="O148" s="6" t="n">
        <x:v>78654.73</x:v>
      </x:c>
      <x:c r="P148" s="6" t="n">
        <x:v>34888.45</x:v>
      </x:c>
      <x:c r="Q148" s="1" t="n">
        <x:v>1</x:v>
      </x:c>
      <x:c r="R148" s="1" t="str">
        <x:v>No</x:v>
      </x:c>
      <x:c r="S148" s="7" t="n">
        <x:v>87.6</x:v>
      </x:c>
      <x:c r="T148" s="1" t="str">
        <x:v>Yes</x:v>
      </x:c>
      <x:c r="U148" s="1" t="str">
        <x:v>Completed</x:v>
      </x:c>
    </x:row>
    <x:row r="149">
      <x:c r="A149" s="1" t="str">
        <x:v>PUB-0148</x:v>
      </x:c>
      <x:c r="B149" s="5" t="n">
        <x:v>45805</x:v>
      </x:c>
      <x:c r="C149" s="5" t="n">
        <x:v>45818</x:v>
      </x:c>
      <x:c r="D149" s="5" t="n">
        <x:v>45811</x:v>
      </x:c>
      <x:c r="E149" s="1" t="str">
        <x:v>Digital Learning</x:v>
      </x:c>
      <x:c r="F149" s="1" t="str">
        <x:v>E-book</x:v>
      </x:c>
      <x:c r="G149" s="1" t="str">
        <x:v>Medium</x:v>
      </x:c>
      <x:c r="H149" s="1" t="str">
        <x:v>AI-Assisted</x:v>
      </x:c>
      <x:c r="I149" s="1" t="str">
        <x:v>Visual Brief</x:v>
      </x:c>
      <x:c r="J149" s="1" t="n">
        <x:v>150</x:v>
      </x:c>
      <x:c r="K149" s="6" t="n">
        <x:v>36.2</x:v>
      </x:c>
      <x:c r="L149" s="6" t="n">
        <x:v>66.8</x:v>
      </x:c>
      <x:c r="M149" s="6" t="n">
        <x:v>30.6</x:v>
      </x:c>
      <x:c r="N149" s="6" t="n">
        <x:v>29507.76</x:v>
      </x:c>
      <x:c r="O149" s="6" t="n">
        <x:v>54465.32</x:v>
      </x:c>
      <x:c r="P149" s="6" t="n">
        <x:v>24957.56</x:v>
      </x:c>
      <x:c r="Q149" s="1" t="n">
        <x:v>1</x:v>
      </x:c>
      <x:c r="R149" s="1" t="str">
        <x:v>No</x:v>
      </x:c>
      <x:c r="S149" s="7" t="n">
        <x:v>81.2</x:v>
      </x:c>
      <x:c r="T149" s="1" t="str">
        <x:v>Yes</x:v>
      </x:c>
      <x:c r="U149" s="1" t="str">
        <x:v>Completed</x:v>
      </x:c>
    </x:row>
    <x:row r="150">
      <x:c r="A150" s="1" t="str">
        <x:v>PUB-0149</x:v>
      </x:c>
      <x:c r="B150" s="5" t="n">
        <x:v>45853</x:v>
      </x:c>
      <x:c r="C150" s="5" t="n">
        <x:v>45857</x:v>
      </x:c>
      <x:c r="D150" s="5" t="str"/>
      <x:c r="E150" s="1" t="str">
        <x:v>Editorial</x:v>
      </x:c>
      <x:c r="F150" s="1" t="str">
        <x:v>Workbook</x:v>
      </x:c>
      <x:c r="G150" s="1" t="str">
        <x:v>Low</x:v>
      </x:c>
      <x:c r="H150" s="1" t="str">
        <x:v>AI-Assisted</x:v>
      </x:c>
      <x:c r="I150" s="1" t="str">
        <x:v>Structured v3</x:v>
      </x:c>
      <x:c r="J150" s="1" t="n">
        <x:v>26</x:v>
      </x:c>
      <x:c r="K150" s="6" t="n">
        <x:v>7.4</x:v>
      </x:c>
      <x:c r="L150" s="6" t="n">
        <x:v>11.2</x:v>
      </x:c>
      <x:c r="M150" s="6" t="n">
        <x:v>3.8</x:v>
      </x:c>
      <x:c r="N150" s="6" t="n">
        <x:v>6877.75</x:v>
      </x:c>
      <x:c r="O150" s="6" t="n">
        <x:v>10454.05</x:v>
      </x:c>
      <x:c r="P150" s="6" t="n">
        <x:v>3576.3</x:v>
      </x:c>
      <x:c r="Q150" s="1" t="n">
        <x:v>0</x:v>
      </x:c>
      <x:c r="R150" s="1" t="str"/>
      <x:c r="S150" s="7" t="n">
        <x:v>92.4</x:v>
      </x:c>
      <x:c r="T150" s="1" t="str"/>
      <x:c r="U150" s="1" t="str">
        <x:v>In Review</x:v>
      </x:c>
    </x:row>
    <x:row r="151">
      <x:c r="A151" s="1" t="str">
        <x:v>PUB-0150</x:v>
      </x:c>
      <x:c r="B151" s="5" t="n">
        <x:v>45778</x:v>
      </x:c>
      <x:c r="C151" s="5" t="n">
        <x:v>45787</x:v>
      </x:c>
      <x:c r="D151" s="5" t="n">
        <x:v>45780</x:v>
      </x:c>
      <x:c r="E151" s="1" t="str">
        <x:v>Production</x:v>
      </x:c>
      <x:c r="F151" s="1" t="str">
        <x:v>Illustration</x:v>
      </x:c>
      <x:c r="G151" s="1" t="str">
        <x:v>Medium</x:v>
      </x:c>
      <x:c r="H151" s="1" t="str">
        <x:v>Manual</x:v>
      </x:c>
      <x:c r="I151" s="1" t="str">
        <x:v>Manual / NA</x:v>
      </x:c>
      <x:c r="J151" s="1" t="n">
        <x:v>30</x:v>
      </x:c>
      <x:c r="K151" s="6" t="n">
        <x:v>11.7</x:v>
      </x:c>
      <x:c r="L151" s="6" t="n">
        <x:v>12.4</x:v>
      </x:c>
      <x:c r="M151" s="6" t="n">
        <x:v>0.7</x:v>
      </x:c>
      <x:c r="N151" s="6" t="n">
        <x:v>9260.9</x:v>
      </x:c>
      <x:c r="O151" s="6" t="n">
        <x:v>9798.81</x:v>
      </x:c>
      <x:c r="P151" s="6" t="n">
        <x:v>537.91</x:v>
      </x:c>
      <x:c r="Q151" s="1" t="n">
        <x:v>0</x:v>
      </x:c>
      <x:c r="R151" s="1" t="str">
        <x:v>Yes</x:v>
      </x:c>
      <x:c r="S151" s="7" t="n">
        <x:v>81.4</x:v>
      </x:c>
      <x:c r="T151" s="1" t="str">
        <x:v>Yes</x:v>
      </x:c>
      <x:c r="U151" s="1" t="str">
        <x:v>Completed</x:v>
      </x:c>
    </x:row>
    <x:row r="152">
      <x:c r="A152" s="1" t="str">
        <x:v>PUB-0151</x:v>
      </x:c>
      <x:c r="B152" s="5" t="n">
        <x:v>46026</x:v>
      </x:c>
      <x:c r="C152" s="5" t="n">
        <x:v>46037</x:v>
      </x:c>
      <x:c r="D152" s="5" t="n">
        <x:v>46035</x:v>
      </x:c>
      <x:c r="E152" s="1" t="str">
        <x:v>Design</x:v>
      </x:c>
      <x:c r="F152" s="1" t="str">
        <x:v>Assessment</x:v>
      </x:c>
      <x:c r="G152" s="1" t="str">
        <x:v>High</x:v>
      </x:c>
      <x:c r="H152" s="1" t="str">
        <x:v>AI-Assisted</x:v>
      </x:c>
      <x:c r="I152" s="1" t="str">
        <x:v>Visual Brief</x:v>
      </x:c>
      <x:c r="J152" s="1" t="n">
        <x:v>64</x:v>
      </x:c>
      <x:c r="K152" s="6" t="n">
        <x:v>19.2</x:v>
      </x:c>
      <x:c r="L152" s="6" t="n">
        <x:v>36.4</x:v>
      </x:c>
      <x:c r="M152" s="6" t="n">
        <x:v>17.2</x:v>
      </x:c>
      <x:c r="N152" s="6" t="n">
        <x:v>15484.05</x:v>
      </x:c>
      <x:c r="O152" s="6" t="n">
        <x:v>29326.57</x:v>
      </x:c>
      <x:c r="P152" s="6" t="n">
        <x:v>13842.52</x:v>
      </x:c>
      <x:c r="Q152" s="1" t="n">
        <x:v>2</x:v>
      </x:c>
      <x:c r="R152" s="1" t="str">
        <x:v>No</x:v>
      </x:c>
      <x:c r="S152" s="7" t="n">
        <x:v>85.7</x:v>
      </x:c>
      <x:c r="T152" s="1" t="str">
        <x:v>Yes</x:v>
      </x:c>
      <x:c r="U152" s="1" t="str">
        <x:v>Completed</x:v>
      </x:c>
    </x:row>
    <x:row r="153">
      <x:c r="A153" s="1" t="str">
        <x:v>PUB-0152</x:v>
      </x:c>
      <x:c r="B153" s="5" t="n">
        <x:v>46085</x:v>
      </x:c>
      <x:c r="C153" s="5" t="n">
        <x:v>46097</x:v>
      </x:c>
      <x:c r="D153" s="5" t="n">
        <x:v>46088</x:v>
      </x:c>
      <x:c r="E153" s="1" t="str">
        <x:v>Editorial</x:v>
      </x:c>
      <x:c r="F153" s="1" t="str">
        <x:v>School Textbook</x:v>
      </x:c>
      <x:c r="G153" s="1" t="str">
        <x:v>Medium</x:v>
      </x:c>
      <x:c r="H153" s="1" t="str">
        <x:v>AI-Assisted</x:v>
      </x:c>
      <x:c r="I153" s="1" t="str">
        <x:v>Few-shot v2</x:v>
      </x:c>
      <x:c r="J153" s="1" t="n">
        <x:v>70</x:v>
      </x:c>
      <x:c r="K153" s="6" t="n">
        <x:v>22.7</x:v>
      </x:c>
      <x:c r="L153" s="6" t="n">
        <x:v>35.3</x:v>
      </x:c>
      <x:c r="M153" s="6" t="n">
        <x:v>12.6</x:v>
      </x:c>
      <x:c r="N153" s="6" t="n">
        <x:v>17675.66</x:v>
      </x:c>
      <x:c r="O153" s="6" t="n">
        <x:v>27471.99</x:v>
      </x:c>
      <x:c r="P153" s="6" t="n">
        <x:v>9796.33</x:v>
      </x:c>
      <x:c r="Q153" s="1" t="n">
        <x:v>0</x:v>
      </x:c>
      <x:c r="R153" s="1" t="str">
        <x:v>Yes</x:v>
      </x:c>
      <x:c r="S153" s="7" t="n">
        <x:v>88</x:v>
      </x:c>
      <x:c r="T153" s="1" t="str">
        <x:v>Yes</x:v>
      </x:c>
      <x:c r="U153" s="1" t="str">
        <x:v>Completed</x:v>
      </x:c>
    </x:row>
    <x:row r="154">
      <x:c r="A154" s="1" t="str">
        <x:v>PUB-0153</x:v>
      </x:c>
      <x:c r="B154" s="5" t="n">
        <x:v>46129</x:v>
      </x:c>
      <x:c r="C154" s="5" t="n">
        <x:v>46141</x:v>
      </x:c>
      <x:c r="D154" s="5" t="n">
        <x:v>46132</x:v>
      </x:c>
      <x:c r="E154" s="1" t="str">
        <x:v>Editorial</x:v>
      </x:c>
      <x:c r="F154" s="1" t="str">
        <x:v>Illustration</x:v>
      </x:c>
      <x:c r="G154" s="1" t="str">
        <x:v>Low</x:v>
      </x:c>
      <x:c r="H154" s="1" t="str">
        <x:v>AI-Assisted</x:v>
      </x:c>
      <x:c r="I154" s="1" t="str">
        <x:v>Editorial QA</x:v>
      </x:c>
      <x:c r="J154" s="1" t="n">
        <x:v>66</x:v>
      </x:c>
      <x:c r="K154" s="6" t="n">
        <x:v>21.6</x:v>
      </x:c>
      <x:c r="L154" s="6" t="n">
        <x:v>30.1</x:v>
      </x:c>
      <x:c r="M154" s="6" t="n">
        <x:v>8.5</x:v>
      </x:c>
      <x:c r="N154" s="6" t="n">
        <x:v>24378.16</x:v>
      </x:c>
      <x:c r="O154" s="6" t="n">
        <x:v>33940.19</x:v>
      </x:c>
      <x:c r="P154" s="6" t="n">
        <x:v>9562.03</x:v>
      </x:c>
      <x:c r="Q154" s="1" t="n">
        <x:v>0</x:v>
      </x:c>
      <x:c r="R154" s="1" t="str">
        <x:v>Yes</x:v>
      </x:c>
      <x:c r="S154" s="7" t="n">
        <x:v>90.1</x:v>
      </x:c>
      <x:c r="T154" s="1" t="str">
        <x:v>Yes</x:v>
      </x:c>
      <x:c r="U154" s="1" t="str">
        <x:v>Completed</x:v>
      </x:c>
    </x:row>
    <x:row r="155">
      <x:c r="A155" s="1" t="str">
        <x:v>PUB-0154</x:v>
      </x:c>
      <x:c r="B155" s="5" t="n">
        <x:v>45664</x:v>
      </x:c>
      <x:c r="C155" s="5" t="n">
        <x:v>45671</x:v>
      </x:c>
      <x:c r="D155" s="5" t="n">
        <x:v>45665</x:v>
      </x:c>
      <x:c r="E155" s="1" t="str">
        <x:v>Design</x:v>
      </x:c>
      <x:c r="F155" s="1" t="str">
        <x:v>E-book</x:v>
      </x:c>
      <x:c r="G155" s="1" t="str">
        <x:v>Low</x:v>
      </x:c>
      <x:c r="H155" s="1" t="str">
        <x:v>AI-Assisted</x:v>
      </x:c>
      <x:c r="I155" s="1" t="str">
        <x:v>Editorial QA</x:v>
      </x:c>
      <x:c r="J155" s="1" t="n">
        <x:v>10</x:v>
      </x:c>
      <x:c r="K155" s="6" t="n">
        <x:v>1.9</x:v>
      </x:c>
      <x:c r="L155" s="6" t="n">
        <x:v>3.8</x:v>
      </x:c>
      <x:c r="M155" s="6" t="n">
        <x:v>1.9</x:v>
      </x:c>
      <x:c r="N155" s="6" t="n">
        <x:v>1840.84</x:v>
      </x:c>
      <x:c r="O155" s="6" t="n">
        <x:v>3657.12</x:v>
      </x:c>
      <x:c r="P155" s="6" t="n">
        <x:v>1816.28</x:v>
      </x:c>
      <x:c r="Q155" s="1" t="n">
        <x:v>0</x:v>
      </x:c>
      <x:c r="R155" s="1" t="str">
        <x:v>Yes</x:v>
      </x:c>
      <x:c r="S155" s="7" t="n">
        <x:v>87.2</x:v>
      </x:c>
      <x:c r="T155" s="1" t="str">
        <x:v>Yes</x:v>
      </x:c>
      <x:c r="U155" s="1" t="str">
        <x:v>Completed</x:v>
      </x:c>
    </x:row>
    <x:row r="156">
      <x:c r="A156" s="1" t="str">
        <x:v>PUB-0155</x:v>
      </x:c>
      <x:c r="B156" s="5" t="n">
        <x:v>45664</x:v>
      </x:c>
      <x:c r="C156" s="5" t="n">
        <x:v>45675</x:v>
      </x:c>
      <x:c r="D156" s="5" t="n">
        <x:v>45670</x:v>
      </x:c>
      <x:c r="E156" s="1" t="str">
        <x:v>Design</x:v>
      </x:c>
      <x:c r="F156" s="1" t="str">
        <x:v>Workbook</x:v>
      </x:c>
      <x:c r="G156" s="1" t="str">
        <x:v>High</x:v>
      </x:c>
      <x:c r="H156" s="1" t="str">
        <x:v>AI-Assisted</x:v>
      </x:c>
      <x:c r="I156" s="1" t="str">
        <x:v>Editorial QA</x:v>
      </x:c>
      <x:c r="J156" s="1" t="n">
        <x:v>145</x:v>
      </x:c>
      <x:c r="K156" s="6" t="n">
        <x:v>47</x:v>
      </x:c>
      <x:c r="L156" s="6" t="n">
        <x:v>69.6</x:v>
      </x:c>
      <x:c r="M156" s="6" t="n">
        <x:v>22.6</x:v>
      </x:c>
      <x:c r="N156" s="6" t="n">
        <x:v>46389.77</x:v>
      </x:c>
      <x:c r="O156" s="6" t="n">
        <x:v>68721.85</x:v>
      </x:c>
      <x:c r="P156" s="6" t="n">
        <x:v>22332.08</x:v>
      </x:c>
      <x:c r="Q156" s="1" t="n">
        <x:v>0</x:v>
      </x:c>
      <x:c r="R156" s="1" t="str">
        <x:v>Yes</x:v>
      </x:c>
      <x:c r="S156" s="7" t="n">
        <x:v>91.2</x:v>
      </x:c>
      <x:c r="T156" s="1" t="str">
        <x:v>Yes</x:v>
      </x:c>
      <x:c r="U156" s="1" t="str">
        <x:v>Completed</x:v>
      </x:c>
    </x:row>
    <x:row r="157">
      <x:c r="A157" s="1" t="str">
        <x:v>PUB-0156</x:v>
      </x:c>
      <x:c r="B157" s="5" t="n">
        <x:v>45854</x:v>
      </x:c>
      <x:c r="C157" s="5" t="n">
        <x:v>45863</x:v>
      </x:c>
      <x:c r="D157" s="5" t="n">
        <x:v>45855</x:v>
      </x:c>
      <x:c r="E157" s="1" t="str">
        <x:v>Production</x:v>
      </x:c>
      <x:c r="F157" s="1" t="str">
        <x:v>Workbook</x:v>
      </x:c>
      <x:c r="G157" s="1" t="str">
        <x:v>Medium</x:v>
      </x:c>
      <x:c r="H157" s="1" t="str">
        <x:v>AI-Assisted</x:v>
      </x:c>
      <x:c r="I157" s="1" t="str">
        <x:v>Editorial QA</x:v>
      </x:c>
      <x:c r="J157" s="1" t="n">
        <x:v>28</x:v>
      </x:c>
      <x:c r="K157" s="6" t="n">
        <x:v>7.7</x:v>
      </x:c>
      <x:c r="L157" s="6" t="n">
        <x:v>12.6</x:v>
      </x:c>
      <x:c r="M157" s="6" t="n">
        <x:v>4.9</x:v>
      </x:c>
      <x:c r="N157" s="6" t="n">
        <x:v>8817.4</x:v>
      </x:c>
      <x:c r="O157" s="6" t="n">
        <x:v>14406.86</x:v>
      </x:c>
      <x:c r="P157" s="6" t="n">
        <x:v>5589.46</x:v>
      </x:c>
      <x:c r="Q157" s="1" t="n">
        <x:v>0</x:v>
      </x:c>
      <x:c r="R157" s="1" t="str">
        <x:v>Yes</x:v>
      </x:c>
      <x:c r="S157" s="7" t="n">
        <x:v>87.6</x:v>
      </x:c>
      <x:c r="T157" s="1" t="str">
        <x:v>Yes</x:v>
      </x:c>
      <x:c r="U157" s="1" t="str">
        <x:v>Completed</x:v>
      </x:c>
    </x:row>
    <x:row r="158">
      <x:c r="A158" s="1" t="str">
        <x:v>PUB-0157</x:v>
      </x:c>
      <x:c r="B158" s="5" t="n">
        <x:v>45690</x:v>
      </x:c>
      <x:c r="C158" s="5" t="n">
        <x:v>45698</x:v>
      </x:c>
      <x:c r="D158" s="5" t="n">
        <x:v>45691</x:v>
      </x:c>
      <x:c r="E158" s="1" t="str">
        <x:v>Editorial</x:v>
      </x:c>
      <x:c r="F158" s="1" t="str">
        <x:v>Workbook</x:v>
      </x:c>
      <x:c r="G158" s="1" t="str">
        <x:v>Medium</x:v>
      </x:c>
      <x:c r="H158" s="1" t="str">
        <x:v>AI-Assisted</x:v>
      </x:c>
      <x:c r="I158" s="1" t="str">
        <x:v>Structured v3</x:v>
      </x:c>
      <x:c r="J158" s="1" t="n">
        <x:v>10</x:v>
      </x:c>
      <x:c r="K158" s="6" t="n">
        <x:v>2.6</x:v>
      </x:c>
      <x:c r="L158" s="6" t="n">
        <x:v>3.8</x:v>
      </x:c>
      <x:c r="M158" s="6" t="n">
        <x:v>1.2</x:v>
      </x:c>
      <x:c r="N158" s="6" t="n">
        <x:v>2528.38</x:v>
      </x:c>
      <x:c r="O158" s="6" t="n">
        <x:v>3677.73</x:v>
      </x:c>
      <x:c r="P158" s="6" t="n">
        <x:v>1149.35</x:v>
      </x:c>
      <x:c r="Q158" s="1" t="n">
        <x:v>0</x:v>
      </x:c>
      <x:c r="R158" s="1" t="str">
        <x:v>Yes</x:v>
      </x:c>
      <x:c r="S158" s="7" t="n">
        <x:v>99</x:v>
      </x:c>
      <x:c r="T158" s="1" t="str">
        <x:v>Yes</x:v>
      </x:c>
      <x:c r="U158" s="1" t="str">
        <x:v>Completed</x:v>
      </x:c>
    </x:row>
    <x:row r="159">
      <x:c r="A159" s="1" t="str">
        <x:v>PUB-0158</x:v>
      </x:c>
      <x:c r="B159" s="5" t="n">
        <x:v>46144</x:v>
      </x:c>
      <x:c r="C159" s="5" t="n">
        <x:v>46157</x:v>
      </x:c>
      <x:c r="D159" s="5" t="n">
        <x:v>46149</x:v>
      </x:c>
      <x:c r="E159" s="1" t="str">
        <x:v>Editorial</x:v>
      </x:c>
      <x:c r="F159" s="1" t="str">
        <x:v>E-book</x:v>
      </x:c>
      <x:c r="G159" s="1" t="str">
        <x:v>Medium</x:v>
      </x:c>
      <x:c r="H159" s="1" t="str">
        <x:v>AI-Assisted</x:v>
      </x:c>
      <x:c r="I159" s="1" t="str">
        <x:v>Structured v3</x:v>
      </x:c>
      <x:c r="J159" s="1" t="n">
        <x:v>147</x:v>
      </x:c>
      <x:c r="K159" s="6" t="n">
        <x:v>37.9</x:v>
      </x:c>
      <x:c r="L159" s="6" t="n">
        <x:v>54</x:v>
      </x:c>
      <x:c r="M159" s="6" t="n">
        <x:v>16.1</x:v>
      </x:c>
      <x:c r="N159" s="6" t="n">
        <x:v>30594.48</x:v>
      </x:c>
      <x:c r="O159" s="6" t="n">
        <x:v>43578.21</x:v>
      </x:c>
      <x:c r="P159" s="6" t="n">
        <x:v>12983.73</x:v>
      </x:c>
      <x:c r="Q159" s="1" t="n">
        <x:v>0</x:v>
      </x:c>
      <x:c r="R159" s="1" t="str">
        <x:v>Yes</x:v>
      </x:c>
      <x:c r="S159" s="7" t="n">
        <x:v>86.9</x:v>
      </x:c>
      <x:c r="T159" s="1" t="str">
        <x:v>Yes</x:v>
      </x:c>
      <x:c r="U159" s="1" t="str">
        <x:v>Completed</x:v>
      </x:c>
    </x:row>
    <x:row r="160">
      <x:c r="A160" s="1" t="str">
        <x:v>PUB-0159</x:v>
      </x:c>
      <x:c r="B160" s="5" t="n">
        <x:v>46065</x:v>
      </x:c>
      <x:c r="C160" s="5" t="n">
        <x:v>46079</x:v>
      </x:c>
      <x:c r="D160" s="5" t="n">
        <x:v>46069</x:v>
      </x:c>
      <x:c r="E160" s="1" t="str">
        <x:v>Digital Learning</x:v>
      </x:c>
      <x:c r="F160" s="1" t="str">
        <x:v>Workbook</x:v>
      </x:c>
      <x:c r="G160" s="1" t="str">
        <x:v>Medium</x:v>
      </x:c>
      <x:c r="H160" s="1" t="str">
        <x:v>AI-Assisted</x:v>
      </x:c>
      <x:c r="I160" s="1" t="str">
        <x:v>Few-shot v2</x:v>
      </x:c>
      <x:c r="J160" s="1" t="n">
        <x:v>107</x:v>
      </x:c>
      <x:c r="K160" s="6" t="n">
        <x:v>29.3</x:v>
      </x:c>
      <x:c r="L160" s="6" t="n">
        <x:v>51.2</x:v>
      </x:c>
      <x:c r="M160" s="6" t="n">
        <x:v>21.9</x:v>
      </x:c>
      <x:c r="N160" s="6" t="n">
        <x:v>29882.27</x:v>
      </x:c>
      <x:c r="O160" s="6" t="n">
        <x:v>52263.21</x:v>
      </x:c>
      <x:c r="P160" s="6" t="n">
        <x:v>22380.94</x:v>
      </x:c>
      <x:c r="Q160" s="1" t="n">
        <x:v>0</x:v>
      </x:c>
      <x:c r="R160" s="1" t="str">
        <x:v>Yes</x:v>
      </x:c>
      <x:c r="S160" s="7" t="n">
        <x:v>88.2</x:v>
      </x:c>
      <x:c r="T160" s="1" t="str">
        <x:v>Yes</x:v>
      </x:c>
      <x:c r="U160" s="1" t="str">
        <x:v>Completed</x:v>
      </x:c>
    </x:row>
    <x:row r="161">
      <x:c r="A161" s="1" t="str">
        <x:v>PUB-0160</x:v>
      </x:c>
      <x:c r="B161" s="5" t="n">
        <x:v>46105</x:v>
      </x:c>
      <x:c r="C161" s="5" t="n">
        <x:v>46121</x:v>
      </x:c>
      <x:c r="D161" s="5" t="n">
        <x:v>46111</x:v>
      </x:c>
      <x:c r="E161" s="1" t="str">
        <x:v>Editorial</x:v>
      </x:c>
      <x:c r="F161" s="1" t="str">
        <x:v>School Textbook</x:v>
      </x:c>
      <x:c r="G161" s="1" t="str">
        <x:v>Medium</x:v>
      </x:c>
      <x:c r="H161" s="1" t="str">
        <x:v>AI-Assisted</x:v>
      </x:c>
      <x:c r="I161" s="1" t="str">
        <x:v>Editorial QA</x:v>
      </x:c>
      <x:c r="J161" s="1" t="n">
        <x:v>160</x:v>
      </x:c>
      <x:c r="K161" s="6" t="n">
        <x:v>41.3</x:v>
      </x:c>
      <x:c r="L161" s="6" t="n">
        <x:v>84.8</x:v>
      </x:c>
      <x:c r="M161" s="6" t="n">
        <x:v>43.5</x:v>
      </x:c>
      <x:c r="N161" s="6" t="n">
        <x:v>32489.2</x:v>
      </x:c>
      <x:c r="O161" s="6" t="n">
        <x:v>66731.98</x:v>
      </x:c>
      <x:c r="P161" s="6" t="n">
        <x:v>34242.78</x:v>
      </x:c>
      <x:c r="Q161" s="1" t="n">
        <x:v>0</x:v>
      </x:c>
      <x:c r="R161" s="1" t="str">
        <x:v>Yes</x:v>
      </x:c>
      <x:c r="S161" s="7" t="n">
        <x:v>86.9</x:v>
      </x:c>
      <x:c r="T161" s="1" t="str">
        <x:v>Yes</x:v>
      </x:c>
      <x:c r="U161" s="1" t="str">
        <x:v>Completed</x:v>
      </x:c>
    </x:row>
    <x:row r="162">
      <x:c r="A162" s="1" t="str">
        <x:v>PUB-0161</x:v>
      </x:c>
      <x:c r="B162" s="5" t="n">
        <x:v>46042</x:v>
      </x:c>
      <x:c r="C162" s="5" t="n">
        <x:v>46050</x:v>
      </x:c>
      <x:c r="D162" s="5" t="n">
        <x:v>46044</x:v>
      </x:c>
      <x:c r="E162" s="1" t="str">
        <x:v>Design</x:v>
      </x:c>
      <x:c r="F162" s="1" t="str">
        <x:v>Illustration</x:v>
      </x:c>
      <x:c r="G162" s="1" t="str">
        <x:v>High</x:v>
      </x:c>
      <x:c r="H162" s="1" t="str">
        <x:v>AI-Assisted</x:v>
      </x:c>
      <x:c r="I162" s="1" t="str">
        <x:v>Structured v3</x:v>
      </x:c>
      <x:c r="J162" s="1" t="n">
        <x:v>41</x:v>
      </x:c>
      <x:c r="K162" s="6" t="n">
        <x:v>14</x:v>
      </x:c>
      <x:c r="L162" s="6" t="n">
        <x:v>28</x:v>
      </x:c>
      <x:c r="M162" s="6" t="n">
        <x:v>14</x:v>
      </x:c>
      <x:c r="N162" s="6" t="n">
        <x:v>10179.55</x:v>
      </x:c>
      <x:c r="O162" s="6" t="n">
        <x:v>20340.01</x:v>
      </x:c>
      <x:c r="P162" s="6" t="n">
        <x:v>10160.46</x:v>
      </x:c>
      <x:c r="Q162" s="1" t="n">
        <x:v>0</x:v>
      </x:c>
      <x:c r="R162" s="1" t="str">
        <x:v>Yes</x:v>
      </x:c>
      <x:c r="S162" s="7" t="n">
        <x:v>83</x:v>
      </x:c>
      <x:c r="T162" s="1" t="str">
        <x:v>Yes</x:v>
      </x:c>
      <x:c r="U162" s="1" t="str">
        <x:v>Completed</x:v>
      </x:c>
    </x:row>
    <x:row r="163">
      <x:c r="A163" s="1" t="str">
        <x:v>PUB-0162</x:v>
      </x:c>
      <x:c r="B163" s="5" t="n">
        <x:v>45663</x:v>
      </x:c>
      <x:c r="C163" s="5" t="n">
        <x:v>45667</x:v>
      </x:c>
      <x:c r="D163" s="5" t="n">
        <x:v>45664</x:v>
      </x:c>
      <x:c r="E163" s="1" t="str">
        <x:v>Digital Learning</x:v>
      </x:c>
      <x:c r="F163" s="1" t="str">
        <x:v>Workbook</x:v>
      </x:c>
      <x:c r="G163" s="1" t="str">
        <x:v>Low</x:v>
      </x:c>
      <x:c r="H163" s="1" t="str">
        <x:v>Manual</x:v>
      </x:c>
      <x:c r="I163" s="1" t="str">
        <x:v>Manual / NA</x:v>
      </x:c>
      <x:c r="J163" s="1" t="n">
        <x:v>34</x:v>
      </x:c>
      <x:c r="K163" s="6" t="n">
        <x:v>10.8</x:v>
      </x:c>
      <x:c r="L163" s="6" t="n">
        <x:v>11.2</x:v>
      </x:c>
      <x:c r="M163" s="6" t="n">
        <x:v>0.4</x:v>
      </x:c>
      <x:c r="N163" s="6" t="n">
        <x:v>10015.6</x:v>
      </x:c>
      <x:c r="O163" s="6" t="n">
        <x:v>10373.73</x:v>
      </x:c>
      <x:c r="P163" s="6" t="n">
        <x:v>358.13</x:v>
      </x:c>
      <x:c r="Q163" s="1" t="n">
        <x:v>0</x:v>
      </x:c>
      <x:c r="R163" s="1" t="str">
        <x:v>Yes</x:v>
      </x:c>
      <x:c r="S163" s="7" t="n">
        <x:v>78.3</x:v>
      </x:c>
      <x:c r="T163" s="1" t="str">
        <x:v>Yes</x:v>
      </x:c>
      <x:c r="U163" s="1" t="str">
        <x:v>Completed</x:v>
      </x:c>
    </x:row>
    <x:row r="164">
      <x:c r="A164" s="1" t="str">
        <x:v>PUB-0163</x:v>
      </x:c>
      <x:c r="B164" s="5" t="n">
        <x:v>45753</x:v>
      </x:c>
      <x:c r="C164" s="5" t="n">
        <x:v>45758</x:v>
      </x:c>
      <x:c r="D164" s="5" t="n">
        <x:v>45754</x:v>
      </x:c>
      <x:c r="E164" s="1" t="str">
        <x:v>Production</x:v>
      </x:c>
      <x:c r="F164" s="1" t="str">
        <x:v>Illustration</x:v>
      </x:c>
      <x:c r="G164" s="1" t="str">
        <x:v>Medium</x:v>
      </x:c>
      <x:c r="H164" s="1" t="str">
        <x:v>Manual</x:v>
      </x:c>
      <x:c r="I164" s="1" t="str">
        <x:v>Manual / NA</x:v>
      </x:c>
      <x:c r="J164" s="1" t="n">
        <x:v>5</x:v>
      </x:c>
      <x:c r="K164" s="6" t="n">
        <x:v>2</x:v>
      </x:c>
      <x:c r="L164" s="6" t="n">
        <x:v>2.2</x:v>
      </x:c>
      <x:c r="M164" s="6" t="n">
        <x:v>0.2</x:v>
      </x:c>
      <x:c r="N164" s="6" t="n">
        <x:v>2201.14</x:v>
      </x:c>
      <x:c r="O164" s="6" t="n">
        <x:v>2450.5</x:v>
      </x:c>
      <x:c r="P164" s="6" t="n">
        <x:v>249.36</x:v>
      </x:c>
      <x:c r="Q164" s="1" t="n">
        <x:v>0</x:v>
      </x:c>
      <x:c r="R164" s="1" t="str">
        <x:v>Yes</x:v>
      </x:c>
      <x:c r="S164" s="7" t="n">
        <x:v>92.1</x:v>
      </x:c>
      <x:c r="T164" s="1" t="str">
        <x:v>Yes</x:v>
      </x:c>
      <x:c r="U164" s="1" t="str">
        <x:v>Completed</x:v>
      </x:c>
    </x:row>
    <x:row r="165">
      <x:c r="A165" s="1" t="str">
        <x:v>PUB-0164</x:v>
      </x:c>
      <x:c r="B165" s="5" t="n">
        <x:v>45800</x:v>
      </x:c>
      <x:c r="C165" s="5" t="n">
        <x:v>45812</x:v>
      </x:c>
      <x:c r="D165" s="5" t="n">
        <x:v>45802</x:v>
      </x:c>
      <x:c r="E165" s="1" t="str">
        <x:v>Editorial</x:v>
      </x:c>
      <x:c r="F165" s="1" t="str">
        <x:v>Workbook</x:v>
      </x:c>
      <x:c r="G165" s="1" t="str">
        <x:v>Medium</x:v>
      </x:c>
      <x:c r="H165" s="1" t="str">
        <x:v>AI-Assisted</x:v>
      </x:c>
      <x:c r="I165" s="1" t="str">
        <x:v>Structured v3</x:v>
      </x:c>
      <x:c r="J165" s="1" t="n">
        <x:v>78</x:v>
      </x:c>
      <x:c r="K165" s="6" t="n">
        <x:v>18.1</x:v>
      </x:c>
      <x:c r="L165" s="6" t="n">
        <x:v>36.4</x:v>
      </x:c>
      <x:c r="M165" s="6" t="n">
        <x:v>18.3</x:v>
      </x:c>
      <x:c r="N165" s="6" t="n">
        <x:v>14042.88</x:v>
      </x:c>
      <x:c r="O165" s="6" t="n">
        <x:v>28232.72</x:v>
      </x:c>
      <x:c r="P165" s="6" t="n">
        <x:v>14189.84</x:v>
      </x:c>
      <x:c r="Q165" s="1" t="n">
        <x:v>0</x:v>
      </x:c>
      <x:c r="R165" s="1" t="str">
        <x:v>Yes</x:v>
      </x:c>
      <x:c r="S165" s="7" t="n">
        <x:v>88</x:v>
      </x:c>
      <x:c r="T165" s="1" t="str">
        <x:v>Yes</x:v>
      </x:c>
      <x:c r="U165" s="1" t="str">
        <x:v>Completed</x:v>
      </x:c>
    </x:row>
    <x:row r="166">
      <x:c r="A166" s="1" t="str">
        <x:v>PUB-0165</x:v>
      </x:c>
      <x:c r="B166" s="5" t="n">
        <x:v>45858</x:v>
      </x:c>
      <x:c r="C166" s="5" t="n">
        <x:v>45874</x:v>
      </x:c>
      <x:c r="D166" s="5" t="n">
        <x:v>45865</x:v>
      </x:c>
      <x:c r="E166" s="1" t="str">
        <x:v>Design</x:v>
      </x:c>
      <x:c r="F166" s="1" t="str">
        <x:v>School Textbook</x:v>
      </x:c>
      <x:c r="G166" s="1" t="str">
        <x:v>Medium</x:v>
      </x:c>
      <x:c r="H166" s="1" t="str">
        <x:v>AI-Assisted</x:v>
      </x:c>
      <x:c r="I166" s="1" t="str">
        <x:v>Few-shot v2</x:v>
      </x:c>
      <x:c r="J166" s="1" t="n">
        <x:v>166</x:v>
      </x:c>
      <x:c r="K166" s="6" t="n">
        <x:v>53.4</x:v>
      </x:c>
      <x:c r="L166" s="6" t="n">
        <x:v>91.2</x:v>
      </x:c>
      <x:c r="M166" s="6" t="n">
        <x:v>37.8</x:v>
      </x:c>
      <x:c r="N166" s="6" t="n">
        <x:v>46207.45</x:v>
      </x:c>
      <x:c r="O166" s="6" t="n">
        <x:v>78957.19</x:v>
      </x:c>
      <x:c r="P166" s="6" t="n">
        <x:v>32749.74</x:v>
      </x:c>
      <x:c r="Q166" s="1" t="n">
        <x:v>0</x:v>
      </x:c>
      <x:c r="R166" s="1" t="str">
        <x:v>Yes</x:v>
      </x:c>
      <x:c r="S166" s="7" t="n">
        <x:v>84.7</x:v>
      </x:c>
      <x:c r="T166" s="1" t="str">
        <x:v>Yes</x:v>
      </x:c>
      <x:c r="U166" s="1" t="str">
        <x:v>Completed</x:v>
      </x:c>
    </x:row>
    <x:row r="167">
      <x:c r="A167" s="1" t="str">
        <x:v>PUB-0166</x:v>
      </x:c>
      <x:c r="B167" s="5" t="n">
        <x:v>45863</x:v>
      </x:c>
      <x:c r="C167" s="5" t="n">
        <x:v>45883</x:v>
      </x:c>
      <x:c r="D167" s="5" t="n">
        <x:v>45871</x:v>
      </x:c>
      <x:c r="E167" s="1" t="str">
        <x:v>Design</x:v>
      </x:c>
      <x:c r="F167" s="1" t="str">
        <x:v>School Textbook</x:v>
      </x:c>
      <x:c r="G167" s="1" t="str">
        <x:v>Medium</x:v>
      </x:c>
      <x:c r="H167" s="1" t="str">
        <x:v>AI-Assisted</x:v>
      </x:c>
      <x:c r="I167" s="1" t="str">
        <x:v>Structured v3</x:v>
      </x:c>
      <x:c r="J167" s="1" t="n">
        <x:v>196</x:v>
      </x:c>
      <x:c r="K167" s="6" t="n">
        <x:v>56.7</x:v>
      </x:c>
      <x:c r="L167" s="6" t="n">
        <x:v>91.7</x:v>
      </x:c>
      <x:c r="M167" s="6" t="n">
        <x:v>35</x:v>
      </x:c>
      <x:c r="N167" s="6" t="n">
        <x:v>43727.73</x:v>
      </x:c>
      <x:c r="O167" s="6" t="n">
        <x:v>70745.01</x:v>
      </x:c>
      <x:c r="P167" s="6" t="n">
        <x:v>27017.28</x:v>
      </x:c>
      <x:c r="Q167" s="1" t="n">
        <x:v>0</x:v>
      </x:c>
      <x:c r="R167" s="1" t="str">
        <x:v>Yes</x:v>
      </x:c>
      <x:c r="S167" s="7" t="n">
        <x:v>83</x:v>
      </x:c>
      <x:c r="T167" s="1" t="str">
        <x:v>Yes</x:v>
      </x:c>
      <x:c r="U167" s="1" t="str">
        <x:v>Completed</x:v>
      </x:c>
    </x:row>
    <x:row r="168">
      <x:c r="A168" s="1" t="str">
        <x:v>PUB-0167</x:v>
      </x:c>
      <x:c r="B168" s="5" t="n">
        <x:v>45862</x:v>
      </x:c>
      <x:c r="C168" s="5" t="n">
        <x:v>45870</x:v>
      </x:c>
      <x:c r="D168" s="5" t="n">
        <x:v>45871</x:v>
      </x:c>
      <x:c r="E168" s="1" t="str">
        <x:v>Production</x:v>
      </x:c>
      <x:c r="F168" s="1" t="str">
        <x:v>Assessment</x:v>
      </x:c>
      <x:c r="G168" s="1" t="str">
        <x:v>High</x:v>
      </x:c>
      <x:c r="H168" s="1" t="str">
        <x:v>AI-Assisted</x:v>
      </x:c>
      <x:c r="I168" s="1" t="str">
        <x:v>Few-shot v2</x:v>
      </x:c>
      <x:c r="J168" s="1" t="n">
        <x:v>63</x:v>
      </x:c>
      <x:c r="K168" s="6" t="n">
        <x:v>22.7</x:v>
      </x:c>
      <x:c r="L168" s="6" t="n">
        <x:v>33.8</x:v>
      </x:c>
      <x:c r="M168" s="6" t="n">
        <x:v>11.1</x:v>
      </x:c>
      <x:c r="N168" s="6" t="n">
        <x:v>24190.05</x:v>
      </x:c>
      <x:c r="O168" s="6" t="n">
        <x:v>35990.06</x:v>
      </x:c>
      <x:c r="P168" s="6" t="n">
        <x:v>11800.01</x:v>
      </x:c>
      <x:c r="Q168" s="1" t="n">
        <x:v>2</x:v>
      </x:c>
      <x:c r="R168" s="1" t="str">
        <x:v>No</x:v>
      </x:c>
      <x:c r="S168" s="7" t="n">
        <x:v>88.1</x:v>
      </x:c>
      <x:c r="T168" s="1" t="str">
        <x:v>No</x:v>
      </x:c>
      <x:c r="U168" s="1" t="str">
        <x:v>Completed</x:v>
      </x:c>
    </x:row>
    <x:row r="169">
      <x:c r="A169" s="1" t="str">
        <x:v>PUB-0168</x:v>
      </x:c>
      <x:c r="B169" s="5" t="n">
        <x:v>45916</x:v>
      </x:c>
      <x:c r="C169" s="5" t="n">
        <x:v>45926</x:v>
      </x:c>
      <x:c r="D169" s="5" t="n">
        <x:v>45917</x:v>
      </x:c>
      <x:c r="E169" s="1" t="str">
        <x:v>Production</x:v>
      </x:c>
      <x:c r="F169" s="1" t="str">
        <x:v>Illustration</x:v>
      </x:c>
      <x:c r="G169" s="1" t="str">
        <x:v>Medium</x:v>
      </x:c>
      <x:c r="H169" s="1" t="str">
        <x:v>Manual</x:v>
      </x:c>
      <x:c r="I169" s="1" t="str">
        <x:v>Manual / NA</x:v>
      </x:c>
      <x:c r="J169" s="1" t="n">
        <x:v>13</x:v>
      </x:c>
      <x:c r="K169" s="6" t="n">
        <x:v>6.4</x:v>
      </x:c>
      <x:c r="L169" s="6" t="n">
        <x:v>6.4</x:v>
      </x:c>
      <x:c r="M169" s="6" t="n">
        <x:v>0</x:v>
      </x:c>
      <x:c r="N169" s="6" t="n">
        <x:v>5869.98</x:v>
      </x:c>
      <x:c r="O169" s="6" t="n">
        <x:v>5860.89</x:v>
      </x:c>
      <x:c r="P169" s="6" t="n">
        <x:v>0</x:v>
      </x:c>
      <x:c r="Q169" s="1" t="n">
        <x:v>0</x:v>
      </x:c>
      <x:c r="R169" s="1" t="str">
        <x:v>Yes</x:v>
      </x:c>
      <x:c r="S169" s="7" t="n">
        <x:v>77.1</x:v>
      </x:c>
      <x:c r="T169" s="1" t="str">
        <x:v>Yes</x:v>
      </x:c>
      <x:c r="U169" s="1" t="str">
        <x:v>Completed</x:v>
      </x:c>
    </x:row>
    <x:row r="170">
      <x:c r="A170" s="1" t="str">
        <x:v>PUB-0169</x:v>
      </x:c>
      <x:c r="B170" s="5" t="n">
        <x:v>45695</x:v>
      </x:c>
      <x:c r="C170" s="5" t="n">
        <x:v>45712</x:v>
      </x:c>
      <x:c r="D170" s="5" t="n">
        <x:v>45705</x:v>
      </x:c>
      <x:c r="E170" s="1" t="str">
        <x:v>Digital Learning</x:v>
      </x:c>
      <x:c r="F170" s="1" t="str">
        <x:v>Workbook</x:v>
      </x:c>
      <x:c r="G170" s="1" t="str">
        <x:v>Medium</x:v>
      </x:c>
      <x:c r="H170" s="1" t="str">
        <x:v>Manual</x:v>
      </x:c>
      <x:c r="I170" s="1" t="str">
        <x:v>Manual / NA</x:v>
      </x:c>
      <x:c r="J170" s="1" t="n">
        <x:v>145</x:v>
      </x:c>
      <x:c r="K170" s="6" t="n">
        <x:v>73.4</x:v>
      </x:c>
      <x:c r="L170" s="6" t="n">
        <x:v>81.4</x:v>
      </x:c>
      <x:c r="M170" s="6" t="n">
        <x:v>8</x:v>
      </x:c>
      <x:c r="N170" s="6" t="n">
        <x:v>56820.08</x:v>
      </x:c>
      <x:c r="O170" s="6" t="n">
        <x:v>62989.31</x:v>
      </x:c>
      <x:c r="P170" s="6" t="n">
        <x:v>6169.23</x:v>
      </x:c>
      <x:c r="Q170" s="1" t="n">
        <x:v>0</x:v>
      </x:c>
      <x:c r="R170" s="1" t="str">
        <x:v>Yes</x:v>
      </x:c>
      <x:c r="S170" s="7" t="n">
        <x:v>88.8</x:v>
      </x:c>
      <x:c r="T170" s="1" t="str">
        <x:v>Yes</x:v>
      </x:c>
      <x:c r="U170" s="1" t="str">
        <x:v>Completed</x:v>
      </x:c>
    </x:row>
    <x:row r="171">
      <x:c r="A171" s="1" t="str">
        <x:v>PUB-0170</x:v>
      </x:c>
      <x:c r="B171" s="5" t="n">
        <x:v>46067</x:v>
      </x:c>
      <x:c r="C171" s="5" t="n">
        <x:v>46075</x:v>
      </x:c>
      <x:c r="D171" s="5" t="n">
        <x:v>46069</x:v>
      </x:c>
      <x:c r="E171" s="1" t="str">
        <x:v>Digital Learning</x:v>
      </x:c>
      <x:c r="F171" s="1" t="str">
        <x:v>Workbook</x:v>
      </x:c>
      <x:c r="G171" s="1" t="str">
        <x:v>Low</x:v>
      </x:c>
      <x:c r="H171" s="1" t="str">
        <x:v>Manual</x:v>
      </x:c>
      <x:c r="I171" s="1" t="str">
        <x:v>Manual / NA</x:v>
      </x:c>
      <x:c r="J171" s="1" t="n">
        <x:v>35</x:v>
      </x:c>
      <x:c r="K171" s="6" t="n">
        <x:v>11.8</x:v>
      </x:c>
      <x:c r="L171" s="6" t="n">
        <x:v>12</x:v>
      </x:c>
      <x:c r="M171" s="6" t="n">
        <x:v>0.2</x:v>
      </x:c>
      <x:c r="N171" s="6" t="n">
        <x:v>10730.91</x:v>
      </x:c>
      <x:c r="O171" s="6" t="n">
        <x:v>10881.57</x:v>
      </x:c>
      <x:c r="P171" s="6" t="n">
        <x:v>150.66</x:v>
      </x:c>
      <x:c r="Q171" s="1" t="n">
        <x:v>0</x:v>
      </x:c>
      <x:c r="R171" s="1" t="str">
        <x:v>Yes</x:v>
      </x:c>
      <x:c r="S171" s="7" t="n">
        <x:v>91.6</x:v>
      </x:c>
      <x:c r="T171" s="1" t="str">
        <x:v>Yes</x:v>
      </x:c>
      <x:c r="U171" s="1" t="str">
        <x:v>Completed</x:v>
      </x:c>
    </x:row>
    <x:row r="172">
      <x:c r="A172" s="1" t="str">
        <x:v>PUB-0171</x:v>
      </x:c>
      <x:c r="B172" s="5" t="n">
        <x:v>46058</x:v>
      </x:c>
      <x:c r="C172" s="5" t="n">
        <x:v>46064</x:v>
      </x:c>
      <x:c r="D172" s="5" t="n">
        <x:v>46059</x:v>
      </x:c>
      <x:c r="E172" s="1" t="str">
        <x:v>Design</x:v>
      </x:c>
      <x:c r="F172" s="1" t="str">
        <x:v>Illustration</x:v>
      </x:c>
      <x:c r="G172" s="1" t="str">
        <x:v>Medium</x:v>
      </x:c>
      <x:c r="H172" s="1" t="str">
        <x:v>AI-Assisted</x:v>
      </x:c>
      <x:c r="I172" s="1" t="str">
        <x:v>Structured v3</x:v>
      </x:c>
      <x:c r="J172" s="1" t="n">
        <x:v>7</x:v>
      </x:c>
      <x:c r="K172" s="6" t="n">
        <x:v>2.1</x:v>
      </x:c>
      <x:c r="L172" s="6" t="n">
        <x:v>3</x:v>
      </x:c>
      <x:c r="M172" s="6" t="n">
        <x:v>0.9</x:v>
      </x:c>
      <x:c r="N172" s="6" t="n">
        <x:v>1455.15</x:v>
      </x:c>
      <x:c r="O172" s="6" t="n">
        <x:v>2061.44</x:v>
      </x:c>
      <x:c r="P172" s="6" t="n">
        <x:v>606.29</x:v>
      </x:c>
      <x:c r="Q172" s="1" t="n">
        <x:v>0</x:v>
      </x:c>
      <x:c r="R172" s="1" t="str">
        <x:v>Yes</x:v>
      </x:c>
      <x:c r="S172" s="7" t="n">
        <x:v>88.4</x:v>
      </x:c>
      <x:c r="T172" s="1" t="str">
        <x:v>Yes</x:v>
      </x:c>
      <x:c r="U172" s="1" t="str">
        <x:v>Completed</x:v>
      </x:c>
    </x:row>
    <x:row r="173">
      <x:c r="A173" s="1" t="str">
        <x:v>PUB-0172</x:v>
      </x:c>
      <x:c r="B173" s="5" t="n">
        <x:v>46191</x:v>
      </x:c>
      <x:c r="C173" s="5" t="n">
        <x:v>46197</x:v>
      </x:c>
      <x:c r="D173" s="5" t="n">
        <x:v>46193</x:v>
      </x:c>
      <x:c r="E173" s="1" t="str">
        <x:v>Design</x:v>
      </x:c>
      <x:c r="F173" s="1" t="str">
        <x:v>Workbook</x:v>
      </x:c>
      <x:c r="G173" s="1" t="str">
        <x:v>Low</x:v>
      </x:c>
      <x:c r="H173" s="1" t="str">
        <x:v>AI-Assisted</x:v>
      </x:c>
      <x:c r="I173" s="1" t="str">
        <x:v>Editorial QA</x:v>
      </x:c>
      <x:c r="J173" s="1" t="n">
        <x:v>89</x:v>
      </x:c>
      <x:c r="K173" s="6" t="n">
        <x:v>17.6</x:v>
      </x:c>
      <x:c r="L173" s="6" t="n">
        <x:v>27</x:v>
      </x:c>
      <x:c r="M173" s="6" t="n">
        <x:v>9.4</x:v>
      </x:c>
      <x:c r="N173" s="6" t="n">
        <x:v>11638.75</x:v>
      </x:c>
      <x:c r="O173" s="6" t="n">
        <x:v>17848.43</x:v>
      </x:c>
      <x:c r="P173" s="6" t="n">
        <x:v>6209.68</x:v>
      </x:c>
      <x:c r="Q173" s="1" t="n">
        <x:v>0</x:v>
      </x:c>
      <x:c r="R173" s="1" t="str">
        <x:v>Yes</x:v>
      </x:c>
      <x:c r="S173" s="7" t="n">
        <x:v>83.9</x:v>
      </x:c>
      <x:c r="T173" s="1" t="str">
        <x:v>Yes</x:v>
      </x:c>
      <x:c r="U173" s="1" t="str">
        <x:v>Completed</x:v>
      </x:c>
    </x:row>
    <x:row r="174">
      <x:c r="A174" s="1" t="str">
        <x:v>PUB-0173</x:v>
      </x:c>
      <x:c r="B174" s="5" t="n">
        <x:v>45907</x:v>
      </x:c>
      <x:c r="C174" s="5" t="n">
        <x:v>45913</x:v>
      </x:c>
      <x:c r="D174" s="5" t="n">
        <x:v>45909</x:v>
      </x:c>
      <x:c r="E174" s="1" t="str">
        <x:v>Design</x:v>
      </x:c>
      <x:c r="F174" s="1" t="str">
        <x:v>Assessment</x:v>
      </x:c>
      <x:c r="G174" s="1" t="str">
        <x:v>Low</x:v>
      </x:c>
      <x:c r="H174" s="1" t="str">
        <x:v>AI-Assisted</x:v>
      </x:c>
      <x:c r="I174" s="1" t="str">
        <x:v>Few-shot v2</x:v>
      </x:c>
      <x:c r="J174" s="1" t="n">
        <x:v>63</x:v>
      </x:c>
      <x:c r="K174" s="6" t="n">
        <x:v>12.2</x:v>
      </x:c>
      <x:c r="L174" s="6" t="n">
        <x:v>23.2</x:v>
      </x:c>
      <x:c r="M174" s="6" t="n">
        <x:v>11</x:v>
      </x:c>
      <x:c r="N174" s="6" t="n">
        <x:v>11836.92</x:v>
      </x:c>
      <x:c r="O174" s="6" t="n">
        <x:v>22510.57</x:v>
      </x:c>
      <x:c r="P174" s="6" t="n">
        <x:v>10673.65</x:v>
      </x:c>
      <x:c r="Q174" s="1" t="n">
        <x:v>0</x:v>
      </x:c>
      <x:c r="R174" s="1" t="str">
        <x:v>Yes</x:v>
      </x:c>
      <x:c r="S174" s="7" t="n">
        <x:v>96.5</x:v>
      </x:c>
      <x:c r="T174" s="1" t="str">
        <x:v>Yes</x:v>
      </x:c>
      <x:c r="U174" s="1" t="str">
        <x:v>Completed</x:v>
      </x:c>
    </x:row>
    <x:row r="175">
      <x:c r="A175" s="1" t="str">
        <x:v>PUB-0174</x:v>
      </x:c>
      <x:c r="B175" s="5" t="n">
        <x:v>46056</x:v>
      </x:c>
      <x:c r="C175" s="5" t="n">
        <x:v>46070</x:v>
      </x:c>
      <x:c r="D175" s="5" t="n">
        <x:v>46062</x:v>
      </x:c>
      <x:c r="E175" s="1" t="str">
        <x:v>Editorial</x:v>
      </x:c>
      <x:c r="F175" s="1" t="str">
        <x:v>School Textbook</x:v>
      </x:c>
      <x:c r="G175" s="1" t="str">
        <x:v>Low</x:v>
      </x:c>
      <x:c r="H175" s="1" t="str">
        <x:v>AI-Assisted</x:v>
      </x:c>
      <x:c r="I175" s="1" t="str">
        <x:v>Editorial QA</x:v>
      </x:c>
      <x:c r="J175" s="1" t="n">
        <x:v>211</x:v>
      </x:c>
      <x:c r="K175" s="6" t="n">
        <x:v>45.6</x:v>
      </x:c>
      <x:c r="L175" s="6" t="n">
        <x:v>66.2</x:v>
      </x:c>
      <x:c r="M175" s="6" t="n">
        <x:v>20.6</x:v>
      </x:c>
      <x:c r="N175" s="6" t="n">
        <x:v>33902.68</x:v>
      </x:c>
      <x:c r="O175" s="6" t="n">
        <x:v>49188.88</x:v>
      </x:c>
      <x:c r="P175" s="6" t="n">
        <x:v>15286.2</x:v>
      </x:c>
      <x:c r="Q175" s="1" t="n">
        <x:v>0</x:v>
      </x:c>
      <x:c r="R175" s="1" t="str">
        <x:v>Yes</x:v>
      </x:c>
      <x:c r="S175" s="7" t="n">
        <x:v>90.4</x:v>
      </x:c>
      <x:c r="T175" s="1" t="str">
        <x:v>Yes</x:v>
      </x:c>
      <x:c r="U175" s="1" t="str">
        <x:v>Completed</x:v>
      </x:c>
    </x:row>
    <x:row r="176">
      <x:c r="A176" s="1" t="str">
        <x:v>PUB-0175</x:v>
      </x:c>
      <x:c r="B176" s="5" t="n">
        <x:v>46159</x:v>
      </x:c>
      <x:c r="C176" s="5" t="n">
        <x:v>46163</x:v>
      </x:c>
      <x:c r="D176" s="5" t="n">
        <x:v>46160</x:v>
      </x:c>
      <x:c r="E176" s="1" t="str">
        <x:v>Design</x:v>
      </x:c>
      <x:c r="F176" s="1" t="str">
        <x:v>Assessment</x:v>
      </x:c>
      <x:c r="G176" s="1" t="str">
        <x:v>Medium</x:v>
      </x:c>
      <x:c r="H176" s="1" t="str">
        <x:v>AI-Assisted</x:v>
      </x:c>
      <x:c r="I176" s="1" t="str">
        <x:v>Editorial QA</x:v>
      </x:c>
      <x:c r="J176" s="1" t="n">
        <x:v>18</x:v>
      </x:c>
      <x:c r="K176" s="6" t="n">
        <x:v>6.2</x:v>
      </x:c>
      <x:c r="L176" s="6" t="n">
        <x:v>9.8</x:v>
      </x:c>
      <x:c r="M176" s="6" t="n">
        <x:v>3.6</x:v>
      </x:c>
      <x:c r="N176" s="6" t="n">
        <x:v>6552.59</x:v>
      </x:c>
      <x:c r="O176" s="6" t="n">
        <x:v>10387.17</x:v>
      </x:c>
      <x:c r="P176" s="6" t="n">
        <x:v>3834.58</x:v>
      </x:c>
      <x:c r="Q176" s="1" t="n">
        <x:v>0</x:v>
      </x:c>
      <x:c r="R176" s="1" t="str">
        <x:v>Yes</x:v>
      </x:c>
      <x:c r="S176" s="7" t="n">
        <x:v>86.8</x:v>
      </x:c>
      <x:c r="T176" s="1" t="str">
        <x:v>Yes</x:v>
      </x:c>
      <x:c r="U176" s="1" t="str">
        <x:v>Completed</x:v>
      </x:c>
    </x:row>
    <x:row r="177">
      <x:c r="A177" s="1" t="str">
        <x:v>PUB-0176</x:v>
      </x:c>
      <x:c r="B177" s="5" t="n">
        <x:v>45778</x:v>
      </x:c>
      <x:c r="C177" s="5" t="n">
        <x:v>45791</x:v>
      </x:c>
      <x:c r="D177" s="5" t="str"/>
      <x:c r="E177" s="1" t="str">
        <x:v>Editorial</x:v>
      </x:c>
      <x:c r="F177" s="1" t="str">
        <x:v>School Textbook</x:v>
      </x:c>
      <x:c r="G177" s="1" t="str">
        <x:v>Medium</x:v>
      </x:c>
      <x:c r="H177" s="1" t="str">
        <x:v>AI-Assisted</x:v>
      </x:c>
      <x:c r="I177" s="1" t="str">
        <x:v>Structured v3</x:v>
      </x:c>
      <x:c r="J177" s="1" t="n">
        <x:v>107</x:v>
      </x:c>
      <x:c r="K177" s="6" t="n">
        <x:v>23.9</x:v>
      </x:c>
      <x:c r="L177" s="6" t="n">
        <x:v>41.8</x:v>
      </x:c>
      <x:c r="M177" s="6" t="n">
        <x:v>17.9</x:v>
      </x:c>
      <x:c r="N177" s="6" t="n">
        <x:v>17754.76</x:v>
      </x:c>
      <x:c r="O177" s="6" t="n">
        <x:v>31026.55</x:v>
      </x:c>
      <x:c r="P177" s="6" t="n">
        <x:v>13271.79</x:v>
      </x:c>
      <x:c r="Q177" s="1" t="n">
        <x:v>0</x:v>
      </x:c>
      <x:c r="R177" s="1" t="str"/>
      <x:c r="S177" s="7" t="n">
        <x:v>96.3</x:v>
      </x:c>
      <x:c r="T177" s="1" t="str"/>
      <x:c r="U177" s="1" t="str">
        <x:v>In Review</x:v>
      </x:c>
    </x:row>
    <x:row r="178">
      <x:c r="A178" s="1" t="str">
        <x:v>PUB-0177</x:v>
      </x:c>
      <x:c r="B178" s="5" t="n">
        <x:v>45835</x:v>
      </x:c>
      <x:c r="C178" s="5" t="n">
        <x:v>45851</x:v>
      </x:c>
      <x:c r="D178" s="5" t="n">
        <x:v>45841</x:v>
      </x:c>
      <x:c r="E178" s="1" t="str">
        <x:v>Design</x:v>
      </x:c>
      <x:c r="F178" s="1" t="str">
        <x:v>Workbook</x:v>
      </x:c>
      <x:c r="G178" s="1" t="str">
        <x:v>Medium</x:v>
      </x:c>
      <x:c r="H178" s="1" t="str">
        <x:v>AI-Assisted</x:v>
      </x:c>
      <x:c r="I178" s="1" t="str">
        <x:v>Structured v3</x:v>
      </x:c>
      <x:c r="J178" s="1" t="n">
        <x:v>123</x:v>
      </x:c>
      <x:c r="K178" s="6" t="n">
        <x:v>48</x:v>
      </x:c>
      <x:c r="L178" s="6" t="n">
        <x:v>67.7</x:v>
      </x:c>
      <x:c r="M178" s="6" t="n">
        <x:v>19.7</x:v>
      </x:c>
      <x:c r="N178" s="6" t="n">
        <x:v>42830.61</x:v>
      </x:c>
      <x:c r="O178" s="6" t="n">
        <x:v>60409.93</x:v>
      </x:c>
      <x:c r="P178" s="6" t="n">
        <x:v>17579.32</x:v>
      </x:c>
      <x:c r="Q178" s="1" t="n">
        <x:v>0</x:v>
      </x:c>
      <x:c r="R178" s="1" t="str">
        <x:v>Yes</x:v>
      </x:c>
      <x:c r="S178" s="7" t="n">
        <x:v>83.7</x:v>
      </x:c>
      <x:c r="T178" s="1" t="str">
        <x:v>Yes</x:v>
      </x:c>
      <x:c r="U178" s="1" t="str">
        <x:v>Completed</x:v>
      </x:c>
    </x:row>
    <x:row r="179">
      <x:c r="A179" s="1" t="str">
        <x:v>PUB-0178</x:v>
      </x:c>
      <x:c r="B179" s="5" t="n">
        <x:v>46161</x:v>
      </x:c>
      <x:c r="C179" s="5" t="n">
        <x:v>46171</x:v>
      </x:c>
      <x:c r="D179" s="5" t="n">
        <x:v>46162</x:v>
      </x:c>
      <x:c r="E179" s="1" t="str">
        <x:v>Design</x:v>
      </x:c>
      <x:c r="F179" s="1" t="str">
        <x:v>Illustration</x:v>
      </x:c>
      <x:c r="G179" s="1" t="str">
        <x:v>High</x:v>
      </x:c>
      <x:c r="H179" s="1" t="str">
        <x:v>AI-Assisted</x:v>
      </x:c>
      <x:c r="I179" s="1" t="str">
        <x:v>Structured v3</x:v>
      </x:c>
      <x:c r="J179" s="1" t="n">
        <x:v>7</x:v>
      </x:c>
      <x:c r="K179" s="6" t="n">
        <x:v>1.8</x:v>
      </x:c>
      <x:c r="L179" s="6" t="n">
        <x:v>3.8</x:v>
      </x:c>
      <x:c r="M179" s="6" t="n">
        <x:v>2</x:v>
      </x:c>
      <x:c r="N179" s="6" t="n">
        <x:v>1372.36</x:v>
      </x:c>
      <x:c r="O179" s="6" t="n">
        <x:v>2877.91</x:v>
      </x:c>
      <x:c r="P179" s="6" t="n">
        <x:v>1505.55</x:v>
      </x:c>
      <x:c r="Q179" s="1" t="n">
        <x:v>0</x:v>
      </x:c>
      <x:c r="R179" s="1" t="str">
        <x:v>Yes</x:v>
      </x:c>
      <x:c r="S179" s="7" t="n">
        <x:v>93.7</x:v>
      </x:c>
      <x:c r="T179" s="1" t="str">
        <x:v>Yes</x:v>
      </x:c>
      <x:c r="U179" s="1" t="str">
        <x:v>Completed</x:v>
      </x:c>
    </x:row>
    <x:row r="180">
      <x:c r="A180" s="1" t="str">
        <x:v>PUB-0179</x:v>
      </x:c>
      <x:c r="B180" s="5" t="n">
        <x:v>46165</x:v>
      </x:c>
      <x:c r="C180" s="5" t="n">
        <x:v>46190</x:v>
      </x:c>
      <x:c r="D180" s="5" t="n">
        <x:v>46177</x:v>
      </x:c>
      <x:c r="E180" s="1" t="str">
        <x:v>Design</x:v>
      </x:c>
      <x:c r="F180" s="1" t="str">
        <x:v>School Textbook</x:v>
      </x:c>
      <x:c r="G180" s="1" t="str">
        <x:v>High</x:v>
      </x:c>
      <x:c r="H180" s="1" t="str">
        <x:v>AI-Assisted</x:v>
      </x:c>
      <x:c r="I180" s="1" t="str">
        <x:v>Editorial QA</x:v>
      </x:c>
      <x:c r="J180" s="1" t="n">
        <x:v>218</x:v>
      </x:c>
      <x:c r="K180" s="6" t="n">
        <x:v>91.2</x:v>
      </x:c>
      <x:c r="L180" s="6" t="n">
        <x:v>137.9</x:v>
      </x:c>
      <x:c r="M180" s="6" t="n">
        <x:v>46.7</x:v>
      </x:c>
      <x:c r="N180" s="6" t="n">
        <x:v>93936.19</x:v>
      </x:c>
      <x:c r="O180" s="6" t="n">
        <x:v>142046.4</x:v>
      </x:c>
      <x:c r="P180" s="6" t="n">
        <x:v>48110.21</x:v>
      </x:c>
      <x:c r="Q180" s="1" t="n">
        <x:v>0</x:v>
      </x:c>
      <x:c r="R180" s="1" t="str">
        <x:v>Yes</x:v>
      </x:c>
      <x:c r="S180" s="7" t="n">
        <x:v>90.1</x:v>
      </x:c>
      <x:c r="T180" s="1" t="str">
        <x:v>Yes</x:v>
      </x:c>
      <x:c r="U180" s="1" t="str">
        <x:v>Completed</x:v>
      </x:c>
    </x:row>
    <x:row r="181">
      <x:c r="A181" s="1" t="str">
        <x:v>PUB-0180</x:v>
      </x:c>
      <x:c r="B181" s="5" t="n">
        <x:v>45962</x:v>
      </x:c>
      <x:c r="C181" s="5" t="n">
        <x:v>45970</x:v>
      </x:c>
      <x:c r="D181" s="5" t="n">
        <x:v>45964</x:v>
      </x:c>
      <x:c r="E181" s="1" t="str">
        <x:v>Digital Learning</x:v>
      </x:c>
      <x:c r="F181" s="1" t="str">
        <x:v>School Textbook</x:v>
      </x:c>
      <x:c r="G181" s="1" t="str">
        <x:v>Medium</x:v>
      </x:c>
      <x:c r="H181" s="1" t="str">
        <x:v>AI-Assisted</x:v>
      </x:c>
      <x:c r="I181" s="1" t="str">
        <x:v>Visual Brief</x:v>
      </x:c>
      <x:c r="J181" s="1" t="n">
        <x:v>30</x:v>
      </x:c>
      <x:c r="K181" s="6" t="n">
        <x:v>11.6</x:v>
      </x:c>
      <x:c r="L181" s="6" t="n">
        <x:v>17.4</x:v>
      </x:c>
      <x:c r="M181" s="6" t="n">
        <x:v>5.8</x:v>
      </x:c>
      <x:c r="N181" s="6" t="n">
        <x:v>8914.29</x:v>
      </x:c>
      <x:c r="O181" s="6" t="n">
        <x:v>13340.78</x:v>
      </x:c>
      <x:c r="P181" s="6" t="n">
        <x:v>4426.49</x:v>
      </x:c>
      <x:c r="Q181" s="1" t="n">
        <x:v>0</x:v>
      </x:c>
      <x:c r="R181" s="1" t="str">
        <x:v>Yes</x:v>
      </x:c>
      <x:c r="S181" s="7" t="n">
        <x:v>94.7</x:v>
      </x:c>
      <x:c r="T181" s="1" t="str">
        <x:v>Yes</x:v>
      </x:c>
      <x:c r="U181" s="1" t="str">
        <x:v>Completed</x:v>
      </x:c>
    </x:row>
    <x:row r="182">
      <x:c r="A182" s="1" t="str">
        <x:v>PUB-0181</x:v>
      </x:c>
      <x:c r="B182" s="5" t="n">
        <x:v>46096</x:v>
      </x:c>
      <x:c r="C182" s="5" t="n">
        <x:v>46106</x:v>
      </x:c>
      <x:c r="D182" s="5" t="str"/>
      <x:c r="E182" s="1" t="str">
        <x:v>Editorial</x:v>
      </x:c>
      <x:c r="F182" s="1" t="str">
        <x:v>School Textbook</x:v>
      </x:c>
      <x:c r="G182" s="1" t="str">
        <x:v>Medium</x:v>
      </x:c>
      <x:c r="H182" s="1" t="str">
        <x:v>AI-Assisted</x:v>
      </x:c>
      <x:c r="I182" s="1" t="str">
        <x:v>Structured v3</x:v>
      </x:c>
      <x:c r="J182" s="1" t="n">
        <x:v>23</x:v>
      </x:c>
      <x:c r="K182" s="6" t="n">
        <x:v>6.8</x:v>
      </x:c>
      <x:c r="L182" s="6" t="n">
        <x:v>11</x:v>
      </x:c>
      <x:c r="M182" s="6" t="n">
        <x:v>4.2</x:v>
      </x:c>
      <x:c r="N182" s="6" t="n">
        <x:v>4992.48</x:v>
      </x:c>
      <x:c r="O182" s="6" t="n">
        <x:v>8056.5</x:v>
      </x:c>
      <x:c r="P182" s="6" t="n">
        <x:v>3064.02</x:v>
      </x:c>
      <x:c r="Q182" s="1" t="n">
        <x:v>0</x:v>
      </x:c>
      <x:c r="R182" s="1" t="str"/>
      <x:c r="S182" s="7" t="n">
        <x:v>87.1</x:v>
      </x:c>
      <x:c r="T182" s="1" t="str"/>
      <x:c r="U182" s="1" t="str">
        <x:v>In Progress</x:v>
      </x:c>
    </x:row>
    <x:row r="183">
      <x:c r="A183" s="1" t="str">
        <x:v>PUB-0182</x:v>
      </x:c>
      <x:c r="B183" s="5" t="n">
        <x:v>45755</x:v>
      </x:c>
      <x:c r="C183" s="5" t="n">
        <x:v>45766</x:v>
      </x:c>
      <x:c r="D183" s="5" t="n">
        <x:v>45757</x:v>
      </x:c>
      <x:c r="E183" s="1" t="str">
        <x:v>Editorial</x:v>
      </x:c>
      <x:c r="F183" s="1" t="str">
        <x:v>Illustration</x:v>
      </x:c>
      <x:c r="G183" s="1" t="str">
        <x:v>High</x:v>
      </x:c>
      <x:c r="H183" s="1" t="str">
        <x:v>AI-Assisted</x:v>
      </x:c>
      <x:c r="I183" s="1" t="str">
        <x:v>Structured v3</x:v>
      </x:c>
      <x:c r="J183" s="1" t="n">
        <x:v>39</x:v>
      </x:c>
      <x:c r="K183" s="6" t="n">
        <x:v>13.7</x:v>
      </x:c>
      <x:c r="L183" s="6" t="n">
        <x:v>20</x:v>
      </x:c>
      <x:c r="M183" s="6" t="n">
        <x:v>6.3</x:v>
      </x:c>
      <x:c r="N183" s="6" t="n">
        <x:v>10615.29</x:v>
      </x:c>
      <x:c r="O183" s="6" t="n">
        <x:v>15473.44</x:v>
      </x:c>
      <x:c r="P183" s="6" t="n">
        <x:v>4858.15</x:v>
      </x:c>
      <x:c r="Q183" s="1" t="n">
        <x:v>0</x:v>
      </x:c>
      <x:c r="R183" s="1" t="str">
        <x:v>Yes</x:v>
      </x:c>
      <x:c r="S183" s="7" t="n">
        <x:v>95.9</x:v>
      </x:c>
      <x:c r="T183" s="1" t="str">
        <x:v>Yes</x:v>
      </x:c>
      <x:c r="U183" s="1" t="str">
        <x:v>Completed</x:v>
      </x:c>
    </x:row>
    <x:row r="184">
      <x:c r="A184" s="1" t="str">
        <x:v>PUB-0183</x:v>
      </x:c>
      <x:c r="B184" s="5" t="n">
        <x:v>46060</x:v>
      </x:c>
      <x:c r="C184" s="5" t="n">
        <x:v>46069</x:v>
      </x:c>
      <x:c r="D184" s="5" t="n">
        <x:v>46062</x:v>
      </x:c>
      <x:c r="E184" s="1" t="str">
        <x:v>Design</x:v>
      </x:c>
      <x:c r="F184" s="1" t="str">
        <x:v>Assessment</x:v>
      </x:c>
      <x:c r="G184" s="1" t="str">
        <x:v>Low</x:v>
      </x:c>
      <x:c r="H184" s="1" t="str">
        <x:v>AI-Assisted</x:v>
      </x:c>
      <x:c r="I184" s="1" t="str">
        <x:v>Few-shot v2</x:v>
      </x:c>
      <x:c r="J184" s="1" t="n">
        <x:v>61</x:v>
      </x:c>
      <x:c r="K184" s="6" t="n">
        <x:v>17.8</x:v>
      </x:c>
      <x:c r="L184" s="6" t="n">
        <x:v>26.8</x:v>
      </x:c>
      <x:c r="M184" s="6" t="n">
        <x:v>9</x:v>
      </x:c>
      <x:c r="N184" s="6" t="n">
        <x:v>15155.37</x:v>
      </x:c>
      <x:c r="O184" s="6" t="n">
        <x:v>22776.72</x:v>
      </x:c>
      <x:c r="P184" s="6" t="n">
        <x:v>7621.35</x:v>
      </x:c>
      <x:c r="Q184" s="1" t="n">
        <x:v>0</x:v>
      </x:c>
      <x:c r="R184" s="1" t="str">
        <x:v>Yes</x:v>
      </x:c>
      <x:c r="S184" s="7" t="n">
        <x:v>85.2</x:v>
      </x:c>
      <x:c r="T184" s="1" t="str">
        <x:v>Yes</x:v>
      </x:c>
      <x:c r="U184" s="1" t="str">
        <x:v>Completed</x:v>
      </x:c>
    </x:row>
    <x:row r="185">
      <x:c r="A185" s="1" t="str">
        <x:v>PUB-0184</x:v>
      </x:c>
      <x:c r="B185" s="5" t="n">
        <x:v>45660</x:v>
      </x:c>
      <x:c r="C185" s="5" t="n">
        <x:v>45675</x:v>
      </x:c>
      <x:c r="D185" s="5" t="n">
        <x:v>45665</x:v>
      </x:c>
      <x:c r="E185" s="1" t="str">
        <x:v>Digital Learning</x:v>
      </x:c>
      <x:c r="F185" s="1" t="str">
        <x:v>E-book</x:v>
      </x:c>
      <x:c r="G185" s="1" t="str">
        <x:v>Medium</x:v>
      </x:c>
      <x:c r="H185" s="1" t="str">
        <x:v>AI-Assisted</x:v>
      </x:c>
      <x:c r="I185" s="1" t="str">
        <x:v>Visual Brief</x:v>
      </x:c>
      <x:c r="J185" s="1" t="n">
        <x:v>170</x:v>
      </x:c>
      <x:c r="K185" s="6" t="n">
        <x:v>36.9</x:v>
      </x:c>
      <x:c r="L185" s="6" t="n">
        <x:v>74.6</x:v>
      </x:c>
      <x:c r="M185" s="6" t="n">
        <x:v>37.7</x:v>
      </x:c>
      <x:c r="N185" s="6" t="n">
        <x:v>33845.13</x:v>
      </x:c>
      <x:c r="O185" s="6" t="n">
        <x:v>68421.77</x:v>
      </x:c>
      <x:c r="P185" s="6" t="n">
        <x:v>34576.64</x:v>
      </x:c>
      <x:c r="Q185" s="1" t="n">
        <x:v>0</x:v>
      </x:c>
      <x:c r="R185" s="1" t="str">
        <x:v>Yes</x:v>
      </x:c>
      <x:c r="S185" s="7" t="n">
        <x:v>78.4</x:v>
      </x:c>
      <x:c r="T185" s="1" t="str">
        <x:v>Yes</x:v>
      </x:c>
      <x:c r="U185" s="1" t="str">
        <x:v>Completed</x:v>
      </x:c>
    </x:row>
    <x:row r="186">
      <x:c r="A186" s="1" t="str">
        <x:v>PUB-0185</x:v>
      </x:c>
      <x:c r="B186" s="5" t="n">
        <x:v>45988</x:v>
      </x:c>
      <x:c r="C186" s="5" t="n">
        <x:v>46009</x:v>
      </x:c>
      <x:c r="D186" s="5" t="n">
        <x:v>45997</x:v>
      </x:c>
      <x:c r="E186" s="1" t="str">
        <x:v>Digital Learning</x:v>
      </x:c>
      <x:c r="F186" s="1" t="str">
        <x:v>Workbook</x:v>
      </x:c>
      <x:c r="G186" s="1" t="str">
        <x:v>High</x:v>
      </x:c>
      <x:c r="H186" s="1" t="str">
        <x:v>AI-Assisted</x:v>
      </x:c>
      <x:c r="I186" s="1" t="str">
        <x:v>Few-shot v2</x:v>
      </x:c>
      <x:c r="J186" s="1" t="n">
        <x:v>132</x:v>
      </x:c>
      <x:c r="K186" s="6" t="n">
        <x:v>64.3</x:v>
      </x:c>
      <x:c r="L186" s="6" t="n">
        <x:v>97</x:v>
      </x:c>
      <x:c r="M186" s="6" t="n">
        <x:v>32.7</x:v>
      </x:c>
      <x:c r="N186" s="6" t="n">
        <x:v>43272.07</x:v>
      </x:c>
      <x:c r="O186" s="6" t="n">
        <x:v>65279.48</x:v>
      </x:c>
      <x:c r="P186" s="6" t="n">
        <x:v>22007.41</x:v>
      </x:c>
      <x:c r="Q186" s="1" t="n">
        <x:v>0</x:v>
      </x:c>
      <x:c r="R186" s="1" t="str">
        <x:v>Yes</x:v>
      </x:c>
      <x:c r="S186" s="7" t="n">
        <x:v>89.5</x:v>
      </x:c>
      <x:c r="T186" s="1" t="str">
        <x:v>Yes</x:v>
      </x:c>
      <x:c r="U186" s="1" t="str">
        <x:v>Completed</x:v>
      </x:c>
    </x:row>
    <x:row r="187">
      <x:c r="A187" s="1" t="str">
        <x:v>PUB-0186</x:v>
      </x:c>
      <x:c r="B187" s="5" t="n">
        <x:v>45658</x:v>
      </x:c>
      <x:c r="C187" s="5" t="n">
        <x:v>45663</x:v>
      </x:c>
      <x:c r="D187" s="5" t="n">
        <x:v>45663</x:v>
      </x:c>
      <x:c r="E187" s="1" t="str">
        <x:v>Digital Learning</x:v>
      </x:c>
      <x:c r="F187" s="1" t="str">
        <x:v>Workbook</x:v>
      </x:c>
      <x:c r="G187" s="1" t="str">
        <x:v>High</x:v>
      </x:c>
      <x:c r="H187" s="1" t="str">
        <x:v>Manual</x:v>
      </x:c>
      <x:c r="I187" s="1" t="str">
        <x:v>Manual / NA</x:v>
      </x:c>
      <x:c r="J187" s="1" t="n">
        <x:v>41</x:v>
      </x:c>
      <x:c r="K187" s="6" t="n">
        <x:v>24.3</x:v>
      </x:c>
      <x:c r="L187" s="6" t="n">
        <x:v>23.1</x:v>
      </x:c>
      <x:c r="M187" s="6" t="n">
        <x:v>0</x:v>
      </x:c>
      <x:c r="N187" s="6" t="n">
        <x:v>26445.63</x:v>
      </x:c>
      <x:c r="O187" s="6" t="n">
        <x:v>25115</x:v>
      </x:c>
      <x:c r="P187" s="6" t="n">
        <x:v>0</x:v>
      </x:c>
      <x:c r="Q187" s="1" t="n">
        <x:v>1</x:v>
      </x:c>
      <x:c r="R187" s="1" t="str">
        <x:v>No</x:v>
      </x:c>
      <x:c r="S187" s="7" t="n">
        <x:v>82.5</x:v>
      </x:c>
      <x:c r="T187" s="1" t="str">
        <x:v>Yes</x:v>
      </x:c>
      <x:c r="U187" s="1" t="str">
        <x:v>Completed</x:v>
      </x:c>
    </x:row>
    <x:row r="188">
      <x:c r="A188" s="1" t="str">
        <x:v>PUB-0187</x:v>
      </x:c>
      <x:c r="B188" s="5" t="n">
        <x:v>45827</x:v>
      </x:c>
      <x:c r="C188" s="5" t="n">
        <x:v>45831</x:v>
      </x:c>
      <x:c r="D188" s="5" t="n">
        <x:v>45832</x:v>
      </x:c>
      <x:c r="E188" s="1" t="str">
        <x:v>Editorial</x:v>
      </x:c>
      <x:c r="F188" s="1" t="str">
        <x:v>Assessment</x:v>
      </x:c>
      <x:c r="G188" s="1" t="str">
        <x:v>Medium</x:v>
      </x:c>
      <x:c r="H188" s="1" t="str">
        <x:v>Manual</x:v>
      </x:c>
      <x:c r="I188" s="1" t="str">
        <x:v>Manual / NA</x:v>
      </x:c>
      <x:c r="J188" s="1" t="n">
        <x:v>33</x:v>
      </x:c>
      <x:c r="K188" s="6" t="n">
        <x:v>11.3</x:v>
      </x:c>
      <x:c r="L188" s="6" t="n">
        <x:v>12.5</x:v>
      </x:c>
      <x:c r="M188" s="6" t="n">
        <x:v>1.2</x:v>
      </x:c>
      <x:c r="N188" s="6" t="n">
        <x:v>8550.83</x:v>
      </x:c>
      <x:c r="O188" s="6" t="n">
        <x:v>9490.74</x:v>
      </x:c>
      <x:c r="P188" s="6" t="n">
        <x:v>939.91</x:v>
      </x:c>
      <x:c r="Q188" s="1" t="n">
        <x:v>1</x:v>
      </x:c>
      <x:c r="R188" s="1" t="str">
        <x:v>No</x:v>
      </x:c>
      <x:c r="S188" s="7" t="n">
        <x:v>77.5</x:v>
      </x:c>
      <x:c r="T188" s="1" t="str">
        <x:v>No</x:v>
      </x:c>
      <x:c r="U188" s="1" t="str">
        <x:v>Completed</x:v>
      </x:c>
    </x:row>
    <x:row r="189">
      <x:c r="A189" s="1" t="str">
        <x:v>PUB-0188</x:v>
      </x:c>
      <x:c r="B189" s="5" t="n">
        <x:v>45781</x:v>
      </x:c>
      <x:c r="C189" s="5" t="n">
        <x:v>45792</x:v>
      </x:c>
      <x:c r="D189" s="5" t="n">
        <x:v>45784</x:v>
      </x:c>
      <x:c r="E189" s="1" t="str">
        <x:v>Digital Learning</x:v>
      </x:c>
      <x:c r="F189" s="1" t="str">
        <x:v>Workbook</x:v>
      </x:c>
      <x:c r="G189" s="1" t="str">
        <x:v>Low</x:v>
      </x:c>
      <x:c r="H189" s="1" t="str">
        <x:v>AI-Assisted</x:v>
      </x:c>
      <x:c r="I189" s="1" t="str">
        <x:v>Structured v3</x:v>
      </x:c>
      <x:c r="J189" s="1" t="n">
        <x:v>106</x:v>
      </x:c>
      <x:c r="K189" s="6" t="n">
        <x:v>23.6</x:v>
      </x:c>
      <x:c r="L189" s="6" t="n">
        <x:v>46.7</x:v>
      </x:c>
      <x:c r="M189" s="6" t="n">
        <x:v>23.1</x:v>
      </x:c>
      <x:c r="N189" s="6" t="n">
        <x:v>19677.23</x:v>
      </x:c>
      <x:c r="O189" s="6" t="n">
        <x:v>38940.09</x:v>
      </x:c>
      <x:c r="P189" s="6" t="n">
        <x:v>19262.86</x:v>
      </x:c>
      <x:c r="Q189" s="1" t="n">
        <x:v>0</x:v>
      </x:c>
      <x:c r="R189" s="1" t="str">
        <x:v>Yes</x:v>
      </x:c>
      <x:c r="S189" s="7" t="n">
        <x:v>88.3</x:v>
      </x:c>
      <x:c r="T189" s="1" t="str">
        <x:v>Yes</x:v>
      </x:c>
      <x:c r="U189" s="1" t="str">
        <x:v>Completed</x:v>
      </x:c>
    </x:row>
    <x:row r="190">
      <x:c r="A190" s="1" t="str">
        <x:v>PUB-0189</x:v>
      </x:c>
      <x:c r="B190" s="5" t="n">
        <x:v>45804</x:v>
      </x:c>
      <x:c r="C190" s="5" t="n">
        <x:v>45809</x:v>
      </x:c>
      <x:c r="D190" s="5" t="n">
        <x:v>45806</x:v>
      </x:c>
      <x:c r="E190" s="1" t="str">
        <x:v>Editorial</x:v>
      </x:c>
      <x:c r="F190" s="1" t="str">
        <x:v>Assessment</x:v>
      </x:c>
      <x:c r="G190" s="1" t="str">
        <x:v>Medium</x:v>
      </x:c>
      <x:c r="H190" s="1" t="str">
        <x:v>AI-Assisted</x:v>
      </x:c>
      <x:c r="I190" s="1" t="str">
        <x:v>Structured v3</x:v>
      </x:c>
      <x:c r="J190" s="1" t="n">
        <x:v>48</x:v>
      </x:c>
      <x:c r="K190" s="6" t="n">
        <x:v>12.3</x:v>
      </x:c>
      <x:c r="L190" s="6" t="n">
        <x:v>23.9</x:v>
      </x:c>
      <x:c r="M190" s="6" t="n">
        <x:v>11.6</x:v>
      </x:c>
      <x:c r="N190" s="6" t="n">
        <x:v>10527.02</x:v>
      </x:c>
      <x:c r="O190" s="6" t="n">
        <x:v>20465.65</x:v>
      </x:c>
      <x:c r="P190" s="6" t="n">
        <x:v>9938.63</x:v>
      </x:c>
      <x:c r="Q190" s="1" t="n">
        <x:v>0</x:v>
      </x:c>
      <x:c r="R190" s="1" t="str">
        <x:v>Yes</x:v>
      </x:c>
      <x:c r="S190" s="7" t="n">
        <x:v>90.5</x:v>
      </x:c>
      <x:c r="T190" s="1" t="str">
        <x:v>Yes</x:v>
      </x:c>
      <x:c r="U190" s="1" t="str">
        <x:v>Completed</x:v>
      </x:c>
    </x:row>
    <x:row r="191">
      <x:c r="A191" s="1" t="str">
        <x:v>PUB-0190</x:v>
      </x:c>
      <x:c r="B191" s="5" t="n">
        <x:v>46051</x:v>
      </x:c>
      <x:c r="C191" s="5" t="n">
        <x:v>46063</x:v>
      </x:c>
      <x:c r="D191" s="5" t="n">
        <x:v>46055</x:v>
      </x:c>
      <x:c r="E191" s="1" t="str">
        <x:v>Design</x:v>
      </x:c>
      <x:c r="F191" s="1" t="str">
        <x:v>Workbook</x:v>
      </x:c>
      <x:c r="G191" s="1" t="str">
        <x:v>Medium</x:v>
      </x:c>
      <x:c r="H191" s="1" t="str">
        <x:v>Manual</x:v>
      </x:c>
      <x:c r="I191" s="1" t="str">
        <x:v>Manual / NA</x:v>
      </x:c>
      <x:c r="J191" s="1" t="n">
        <x:v>71</x:v>
      </x:c>
      <x:c r="K191" s="6" t="n">
        <x:v>26.6</x:v>
      </x:c>
      <x:c r="L191" s="6" t="n">
        <x:v>26.9</x:v>
      </x:c>
      <x:c r="M191" s="6" t="n">
        <x:v>0.3</x:v>
      </x:c>
      <x:c r="N191" s="6" t="n">
        <x:v>25270.1</x:v>
      </x:c>
      <x:c r="O191" s="6" t="n">
        <x:v>25532.27</x:v>
      </x:c>
      <x:c r="P191" s="6" t="n">
        <x:v>262.17</x:v>
      </x:c>
      <x:c r="Q191" s="1" t="n">
        <x:v>0</x:v>
      </x:c>
      <x:c r="R191" s="1" t="str">
        <x:v>Yes</x:v>
      </x:c>
      <x:c r="S191" s="7" t="n">
        <x:v>83.2</x:v>
      </x:c>
      <x:c r="T191" s="1" t="str">
        <x:v>Yes</x:v>
      </x:c>
      <x:c r="U191" s="1" t="str">
        <x:v>Completed</x:v>
      </x:c>
    </x:row>
    <x:row r="192">
      <x:c r="A192" s="1" t="str">
        <x:v>PUB-0191</x:v>
      </x:c>
      <x:c r="B192" s="5" t="n">
        <x:v>45966</x:v>
      </x:c>
      <x:c r="C192" s="5" t="n">
        <x:v>45970</x:v>
      </x:c>
      <x:c r="D192" s="5" t="str"/>
      <x:c r="E192" s="1" t="str">
        <x:v>Editorial</x:v>
      </x:c>
      <x:c r="F192" s="1" t="str">
        <x:v>Assessment</x:v>
      </x:c>
      <x:c r="G192" s="1" t="str">
        <x:v>High</x:v>
      </x:c>
      <x:c r="H192" s="1" t="str">
        <x:v>AI-Assisted</x:v>
      </x:c>
      <x:c r="I192" s="1" t="str">
        <x:v>Few-shot v2</x:v>
      </x:c>
      <x:c r="J192" s="1" t="n">
        <x:v>10</x:v>
      </x:c>
      <x:c r="K192" s="6" t="n">
        <x:v>3.8</x:v>
      </x:c>
      <x:c r="L192" s="6" t="n">
        <x:v>7.1</x:v>
      </x:c>
      <x:c r="M192" s="6" t="n">
        <x:v>3.3</x:v>
      </x:c>
      <x:c r="N192" s="6" t="n">
        <x:v>3203.18</x:v>
      </x:c>
      <x:c r="O192" s="6" t="n">
        <x:v>5948.76</x:v>
      </x:c>
      <x:c r="P192" s="6" t="n">
        <x:v>2745.58</x:v>
      </x:c>
      <x:c r="Q192" s="1" t="n">
        <x:v>2</x:v>
      </x:c>
      <x:c r="R192" s="1" t="str"/>
      <x:c r="S192" s="7" t="n">
        <x:v>96.2</x:v>
      </x:c>
      <x:c r="T192" s="1" t="str"/>
      <x:c r="U192" s="1" t="str">
        <x:v>In Review</x:v>
      </x:c>
    </x:row>
    <x:row r="193">
      <x:c r="A193" s="1" t="str">
        <x:v>PUB-0192</x:v>
      </x:c>
      <x:c r="B193" s="5" t="n">
        <x:v>45793</x:v>
      </x:c>
      <x:c r="C193" s="5" t="n">
        <x:v>45798</x:v>
      </x:c>
      <x:c r="D193" s="5" t="str"/>
      <x:c r="E193" s="1" t="str">
        <x:v>Design</x:v>
      </x:c>
      <x:c r="F193" s="1" t="str">
        <x:v>Illustration</x:v>
      </x:c>
      <x:c r="G193" s="1" t="str">
        <x:v>High</x:v>
      </x:c>
      <x:c r="H193" s="1" t="str">
        <x:v>AI-Assisted</x:v>
      </x:c>
      <x:c r="I193" s="1" t="str">
        <x:v>Few-shot v2</x:v>
      </x:c>
      <x:c r="J193" s="1" t="n">
        <x:v>26</x:v>
      </x:c>
      <x:c r="K193" s="6" t="n">
        <x:v>13</x:v>
      </x:c>
      <x:c r="L193" s="6" t="n">
        <x:v>19.6</x:v>
      </x:c>
      <x:c r="M193" s="6" t="n">
        <x:v>6.6</x:v>
      </x:c>
      <x:c r="N193" s="6" t="n">
        <x:v>8558.48</x:v>
      </x:c>
      <x:c r="O193" s="6" t="n">
        <x:v>12878.34</x:v>
      </x:c>
      <x:c r="P193" s="6" t="n">
        <x:v>4319.86</x:v>
      </x:c>
      <x:c r="Q193" s="1" t="n">
        <x:v>1</x:v>
      </x:c>
      <x:c r="R193" s="1" t="str"/>
      <x:c r="S193" s="7" t="n">
        <x:v>92.4</x:v>
      </x:c>
      <x:c r="T193" s="1" t="str"/>
      <x:c r="U193" s="1" t="str">
        <x:v>In Review</x:v>
      </x:c>
    </x:row>
    <x:row r="194">
      <x:c r="A194" s="1" t="str">
        <x:v>PUB-0193</x:v>
      </x:c>
      <x:c r="B194" s="5" t="n">
        <x:v>46065</x:v>
      </x:c>
      <x:c r="C194" s="5" t="n">
        <x:v>46076</x:v>
      </x:c>
      <x:c r="D194" s="5" t="n">
        <x:v>46067</x:v>
      </x:c>
      <x:c r="E194" s="1" t="str">
        <x:v>Design</x:v>
      </x:c>
      <x:c r="F194" s="1" t="str">
        <x:v>Assessment</x:v>
      </x:c>
      <x:c r="G194" s="1" t="str">
        <x:v>Low</x:v>
      </x:c>
      <x:c r="H194" s="1" t="str">
        <x:v>AI-Assisted</x:v>
      </x:c>
      <x:c r="I194" s="1" t="str">
        <x:v>Few-shot v2</x:v>
      </x:c>
      <x:c r="J194" s="1" t="n">
        <x:v>55</x:v>
      </x:c>
      <x:c r="K194" s="6" t="n">
        <x:v>13.5</x:v>
      </x:c>
      <x:c r="L194" s="6" t="n">
        <x:v>21.6</x:v>
      </x:c>
      <x:c r="M194" s="6" t="n">
        <x:v>8.1</x:v>
      </x:c>
      <x:c r="N194" s="6" t="n">
        <x:v>10647.91</x:v>
      </x:c>
      <x:c r="O194" s="6" t="n">
        <x:v>17004.94</x:v>
      </x:c>
      <x:c r="P194" s="6" t="n">
        <x:v>6357.03</x:v>
      </x:c>
      <x:c r="Q194" s="1" t="n">
        <x:v>0</x:v>
      </x:c>
      <x:c r="R194" s="1" t="str">
        <x:v>Yes</x:v>
      </x:c>
      <x:c r="S194" s="7" t="n">
        <x:v>85.3</x:v>
      </x:c>
      <x:c r="T194" s="1" t="str">
        <x:v>Yes</x:v>
      </x:c>
      <x:c r="U194" s="1" t="str">
        <x:v>Completed</x:v>
      </x:c>
    </x:row>
    <x:row r="195">
      <x:c r="A195" s="1" t="str">
        <x:v>PUB-0194</x:v>
      </x:c>
      <x:c r="B195" s="5" t="n">
        <x:v>46058</x:v>
      </x:c>
      <x:c r="C195" s="5" t="n">
        <x:v>46066</x:v>
      </x:c>
      <x:c r="D195" s="5" t="n">
        <x:v>46063</x:v>
      </x:c>
      <x:c r="E195" s="1" t="str">
        <x:v>Production</x:v>
      </x:c>
      <x:c r="F195" s="1" t="str">
        <x:v>Illustration</x:v>
      </x:c>
      <x:c r="G195" s="1" t="str">
        <x:v>Medium</x:v>
      </x:c>
      <x:c r="H195" s="1" t="str">
        <x:v>AI-Assisted</x:v>
      </x:c>
      <x:c r="I195" s="1" t="str">
        <x:v>Editorial QA</x:v>
      </x:c>
      <x:c r="J195" s="1" t="n">
        <x:v>43</x:v>
      </x:c>
      <x:c r="K195" s="6" t="n">
        <x:v>15.3</x:v>
      </x:c>
      <x:c r="L195" s="6" t="n">
        <x:v>22.4</x:v>
      </x:c>
      <x:c r="M195" s="6" t="n">
        <x:v>7.1</x:v>
      </x:c>
      <x:c r="N195" s="6" t="n">
        <x:v>10387.98</x:v>
      </x:c>
      <x:c r="O195" s="6" t="n">
        <x:v>15198.64</x:v>
      </x:c>
      <x:c r="P195" s="6" t="n">
        <x:v>4810.66</x:v>
      </x:c>
      <x:c r="Q195" s="1" t="n">
        <x:v>1</x:v>
      </x:c>
      <x:c r="R195" s="1" t="str">
        <x:v>No</x:v>
      </x:c>
      <x:c r="S195" s="7" t="n">
        <x:v>87.1</x:v>
      </x:c>
      <x:c r="T195" s="1" t="str">
        <x:v>Yes</x:v>
      </x:c>
      <x:c r="U195" s="1" t="str">
        <x:v>Completed</x:v>
      </x:c>
    </x:row>
    <x:row r="196">
      <x:c r="A196" s="1" t="str">
        <x:v>PUB-0195</x:v>
      </x:c>
      <x:c r="B196" s="5" t="n">
        <x:v>45974</x:v>
      </x:c>
      <x:c r="C196" s="5" t="n">
        <x:v>45979</x:v>
      </x:c>
      <x:c r="D196" s="5" t="n">
        <x:v>45975</x:v>
      </x:c>
      <x:c r="E196" s="1" t="str">
        <x:v>Production</x:v>
      </x:c>
      <x:c r="F196" s="1" t="str">
        <x:v>Assessment</x:v>
      </x:c>
      <x:c r="G196" s="1" t="str">
        <x:v>Medium</x:v>
      </x:c>
      <x:c r="H196" s="1" t="str">
        <x:v>AI-Assisted</x:v>
      </x:c>
      <x:c r="I196" s="1" t="str">
        <x:v>Structured v3</x:v>
      </x:c>
      <x:c r="J196" s="1" t="n">
        <x:v>21</x:v>
      </x:c>
      <x:c r="K196" s="6" t="n">
        <x:v>5.9</x:v>
      </x:c>
      <x:c r="L196" s="6" t="n">
        <x:v>8.3</x:v>
      </x:c>
      <x:c r="M196" s="6" t="n">
        <x:v>2.4</x:v>
      </x:c>
      <x:c r="N196" s="6" t="n">
        <x:v>5377.87</x:v>
      </x:c>
      <x:c r="O196" s="6" t="n">
        <x:v>7580.88</x:v>
      </x:c>
      <x:c r="P196" s="6" t="n">
        <x:v>2203.01</x:v>
      </x:c>
      <x:c r="Q196" s="1" t="n">
        <x:v>0</x:v>
      </x:c>
      <x:c r="R196" s="1" t="str">
        <x:v>Yes</x:v>
      </x:c>
      <x:c r="S196" s="7" t="n">
        <x:v>88.4</x:v>
      </x:c>
      <x:c r="T196" s="1" t="str">
        <x:v>Yes</x:v>
      </x:c>
      <x:c r="U196" s="1" t="str">
        <x:v>Completed</x:v>
      </x:c>
    </x:row>
    <x:row r="197">
      <x:c r="A197" s="1" t="str">
        <x:v>PUB-0196</x:v>
      </x:c>
      <x:c r="B197" s="5" t="n">
        <x:v>45933</x:v>
      </x:c>
      <x:c r="C197" s="5" t="n">
        <x:v>45942</x:v>
      </x:c>
      <x:c r="D197" s="5" t="n">
        <x:v>45939</x:v>
      </x:c>
      <x:c r="E197" s="1" t="str">
        <x:v>Production</x:v>
      </x:c>
      <x:c r="F197" s="1" t="str">
        <x:v>School Textbook</x:v>
      </x:c>
      <x:c r="G197" s="1" t="str">
        <x:v>High</x:v>
      </x:c>
      <x:c r="H197" s="1" t="str">
        <x:v>Manual</x:v>
      </x:c>
      <x:c r="I197" s="1" t="str">
        <x:v>Manual / NA</x:v>
      </x:c>
      <x:c r="J197" s="1" t="n">
        <x:v>93</x:v>
      </x:c>
      <x:c r="K197" s="6" t="n">
        <x:v>46</x:v>
      </x:c>
      <x:c r="L197" s="6" t="n">
        <x:v>51.5</x:v>
      </x:c>
      <x:c r="M197" s="6" t="n">
        <x:v>5.5</x:v>
      </x:c>
      <x:c r="N197" s="6" t="n">
        <x:v>46283.43</x:v>
      </x:c>
      <x:c r="O197" s="6" t="n">
        <x:v>51856.6</x:v>
      </x:c>
      <x:c r="P197" s="6" t="n">
        <x:v>5573.17</x:v>
      </x:c>
      <x:c r="Q197" s="1" t="n">
        <x:v>0</x:v>
      </x:c>
      <x:c r="R197" s="1" t="str">
        <x:v>Yes</x:v>
      </x:c>
      <x:c r="S197" s="7" t="n">
        <x:v>81.7</x:v>
      </x:c>
      <x:c r="T197" s="1" t="str">
        <x:v>Yes</x:v>
      </x:c>
      <x:c r="U197" s="1" t="str">
        <x:v>Completed</x:v>
      </x:c>
    </x:row>
    <x:row r="198">
      <x:c r="A198" s="1" t="str">
        <x:v>PUB-0197</x:v>
      </x:c>
      <x:c r="B198" s="5" t="n">
        <x:v>46026</x:v>
      </x:c>
      <x:c r="C198" s="5" t="n">
        <x:v>46040</x:v>
      </x:c>
      <x:c r="D198" s="5" t="n">
        <x:v>46033</x:v>
      </x:c>
      <x:c r="E198" s="1" t="str">
        <x:v>Editorial</x:v>
      </x:c>
      <x:c r="F198" s="1" t="str">
        <x:v>E-book</x:v>
      </x:c>
      <x:c r="G198" s="1" t="str">
        <x:v>Low</x:v>
      </x:c>
      <x:c r="H198" s="1" t="str">
        <x:v>AI-Assisted</x:v>
      </x:c>
      <x:c r="I198" s="1" t="str">
        <x:v>Structured v3</x:v>
      </x:c>
      <x:c r="J198" s="1" t="n">
        <x:v>205</x:v>
      </x:c>
      <x:c r="K198" s="6" t="n">
        <x:v>53.4</x:v>
      </x:c>
      <x:c r="L198" s="6" t="n">
        <x:v>81.7</x:v>
      </x:c>
      <x:c r="M198" s="6" t="n">
        <x:v>28.3</x:v>
      </x:c>
      <x:c r="N198" s="6" t="n">
        <x:v>40808.4</x:v>
      </x:c>
      <x:c r="O198" s="6" t="n">
        <x:v>62466.21</x:v>
      </x:c>
      <x:c r="P198" s="6" t="n">
        <x:v>21657.81</x:v>
      </x:c>
      <x:c r="Q198" s="1" t="n">
        <x:v>0</x:v>
      </x:c>
      <x:c r="R198" s="1" t="str">
        <x:v>Yes</x:v>
      </x:c>
      <x:c r="S198" s="7" t="n">
        <x:v>99</x:v>
      </x:c>
      <x:c r="T198" s="1" t="str">
        <x:v>Yes</x:v>
      </x:c>
      <x:c r="U198" s="1" t="str">
        <x:v>Completed</x:v>
      </x:c>
    </x:row>
    <x:row r="199">
      <x:c r="A199" s="1" t="str">
        <x:v>PUB-0198</x:v>
      </x:c>
      <x:c r="B199" s="5" t="n">
        <x:v>46050</x:v>
      </x:c>
      <x:c r="C199" s="5" t="n">
        <x:v>46057</x:v>
      </x:c>
      <x:c r="D199" s="5" t="n">
        <x:v>46051</x:v>
      </x:c>
      <x:c r="E199" s="1" t="str">
        <x:v>Digital Learning</x:v>
      </x:c>
      <x:c r="F199" s="1" t="str">
        <x:v>School Textbook</x:v>
      </x:c>
      <x:c r="G199" s="1" t="str">
        <x:v>Medium</x:v>
      </x:c>
      <x:c r="H199" s="1" t="str">
        <x:v>Manual</x:v>
      </x:c>
      <x:c r="I199" s="1" t="str">
        <x:v>Manual / NA</x:v>
      </x:c>
      <x:c r="J199" s="1" t="n">
        <x:v>17</x:v>
      </x:c>
      <x:c r="K199" s="6" t="n">
        <x:v>9.8</x:v>
      </x:c>
      <x:c r="L199" s="6" t="n">
        <x:v>9.5</x:v>
      </x:c>
      <x:c r="M199" s="6" t="n">
        <x:v>0</x:v>
      </x:c>
      <x:c r="N199" s="6" t="n">
        <x:v>8424.91</x:v>
      </x:c>
      <x:c r="O199" s="6" t="n">
        <x:v>8199.81</x:v>
      </x:c>
      <x:c r="P199" s="6" t="n">
        <x:v>0</x:v>
      </x:c>
      <x:c r="Q199" s="1" t="n">
        <x:v>0</x:v>
      </x:c>
      <x:c r="R199" s="1" t="str">
        <x:v>Yes</x:v>
      </x:c>
      <x:c r="S199" s="7" t="n">
        <x:v>88</x:v>
      </x:c>
      <x:c r="T199" s="1" t="str">
        <x:v>Yes</x:v>
      </x:c>
      <x:c r="U199" s="1" t="str">
        <x:v>Completed</x:v>
      </x:c>
    </x:row>
    <x:row r="200">
      <x:c r="A200" s="1" t="str">
        <x:v>PUB-0199</x:v>
      </x:c>
      <x:c r="B200" s="5" t="n">
        <x:v>45737</x:v>
      </x:c>
      <x:c r="C200" s="5" t="n">
        <x:v>45748</x:v>
      </x:c>
      <x:c r="D200" s="5" t="n">
        <x:v>45742</x:v>
      </x:c>
      <x:c r="E200" s="1" t="str">
        <x:v>Production</x:v>
      </x:c>
      <x:c r="F200" s="1" t="str">
        <x:v>School Textbook</x:v>
      </x:c>
      <x:c r="G200" s="1" t="str">
        <x:v>High</x:v>
      </x:c>
      <x:c r="H200" s="1" t="str">
        <x:v>AI-Assisted</x:v>
      </x:c>
      <x:c r="I200" s="1" t="str">
        <x:v>Structured v3</x:v>
      </x:c>
      <x:c r="J200" s="1" t="n">
        <x:v>65</x:v>
      </x:c>
      <x:c r="K200" s="6" t="n">
        <x:v>35</x:v>
      </x:c>
      <x:c r="L200" s="6" t="n">
        <x:v>49.4</x:v>
      </x:c>
      <x:c r="M200" s="6" t="n">
        <x:v>14.4</x:v>
      </x:c>
      <x:c r="N200" s="6" t="n">
        <x:v>23956.21</x:v>
      </x:c>
      <x:c r="O200" s="6" t="n">
        <x:v>33821.5</x:v>
      </x:c>
      <x:c r="P200" s="6" t="n">
        <x:v>9865.29</x:v>
      </x:c>
      <x:c r="Q200" s="1" t="n">
        <x:v>0</x:v>
      </x:c>
      <x:c r="R200" s="1" t="str">
        <x:v>Yes</x:v>
      </x:c>
      <x:c r="S200" s="7" t="n">
        <x:v>86.9</x:v>
      </x:c>
      <x:c r="T200" s="1" t="str">
        <x:v>Yes</x:v>
      </x:c>
      <x:c r="U200" s="1" t="str">
        <x:v>Completed</x:v>
      </x:c>
    </x:row>
    <x:row r="201">
      <x:c r="A201" s="1" t="str">
        <x:v>PUB-0200</x:v>
      </x:c>
      <x:c r="B201" s="5" t="n">
        <x:v>45666</x:v>
      </x:c>
      <x:c r="C201" s="5" t="n">
        <x:v>45681</x:v>
      </x:c>
      <x:c r="D201" s="5" t="str"/>
      <x:c r="E201" s="1" t="str">
        <x:v>Design</x:v>
      </x:c>
      <x:c r="F201" s="1" t="str">
        <x:v>Workbook</x:v>
      </x:c>
      <x:c r="G201" s="1" t="str">
        <x:v>Medium</x:v>
      </x:c>
      <x:c r="H201" s="1" t="str">
        <x:v>Manual</x:v>
      </x:c>
      <x:c r="I201" s="1" t="str">
        <x:v>Manual / NA</x:v>
      </x:c>
      <x:c r="J201" s="1" t="n">
        <x:v>197</x:v>
      </x:c>
      <x:c r="K201" s="6" t="n">
        <x:v>90.9</x:v>
      </x:c>
      <x:c r="L201" s="6" t="n">
        <x:v>91</x:v>
      </x:c>
      <x:c r="M201" s="6" t="n">
        <x:v>0.1</x:v>
      </x:c>
      <x:c r="N201" s="6" t="n">
        <x:v>81508.24</x:v>
      </x:c>
      <x:c r="O201" s="6" t="n">
        <x:v>81621.75</x:v>
      </x:c>
      <x:c r="P201" s="6" t="n">
        <x:v>113.51</x:v>
      </x:c>
      <x:c r="Q201" s="1" t="n">
        <x:v>0</x:v>
      </x:c>
      <x:c r="R201" s="1" t="str"/>
      <x:c r="S201" s="7" t="n">
        <x:v>95.4</x:v>
      </x:c>
      <x:c r="T201" s="1" t="str"/>
      <x:c r="U201" s="1" t="str">
        <x:v>In Review</x:v>
      </x:c>
    </x:row>
    <x:row r="202">
      <x:c r="A202" s="1" t="str">
        <x:v>PUB-0201</x:v>
      </x:c>
      <x:c r="B202" s="5" t="n">
        <x:v>45909</x:v>
      </x:c>
      <x:c r="C202" s="5" t="n">
        <x:v>45928</x:v>
      </x:c>
      <x:c r="D202" s="5" t="n">
        <x:v>45921</x:v>
      </x:c>
      <x:c r="E202" s="1" t="str">
        <x:v>Editorial</x:v>
      </x:c>
      <x:c r="F202" s="1" t="str">
        <x:v>E-book</x:v>
      </x:c>
      <x:c r="G202" s="1" t="str">
        <x:v>High</x:v>
      </x:c>
      <x:c r="H202" s="1" t="str">
        <x:v>AI-Assisted</x:v>
      </x:c>
      <x:c r="I202" s="1" t="str">
        <x:v>Few-shot v2</x:v>
      </x:c>
      <x:c r="J202" s="1" t="n">
        <x:v>170</x:v>
      </x:c>
      <x:c r="K202" s="6" t="n">
        <x:v>87.9</x:v>
      </x:c>
      <x:c r="L202" s="6" t="n">
        <x:v>124.1</x:v>
      </x:c>
      <x:c r="M202" s="6" t="n">
        <x:v>36.2</x:v>
      </x:c>
      <x:c r="N202" s="6" t="n">
        <x:v>57199.26</x:v>
      </x:c>
      <x:c r="O202" s="6" t="n">
        <x:v>80748.91</x:v>
      </x:c>
      <x:c r="P202" s="6" t="n">
        <x:v>23549.65</x:v>
      </x:c>
      <x:c r="Q202" s="1" t="n">
        <x:v>0</x:v>
      </x:c>
      <x:c r="R202" s="1" t="str">
        <x:v>Yes</x:v>
      </x:c>
      <x:c r="S202" s="7" t="n">
        <x:v>94.2</x:v>
      </x:c>
      <x:c r="T202" s="1" t="str">
        <x:v>Yes</x:v>
      </x:c>
      <x:c r="U202" s="1" t="str">
        <x:v>Completed</x:v>
      </x:c>
    </x:row>
    <x:row r="203">
      <x:c r="A203" s="1" t="str">
        <x:v>PUB-0202</x:v>
      </x:c>
      <x:c r="B203" s="5" t="n">
        <x:v>45901</x:v>
      </x:c>
      <x:c r="C203" s="5" t="n">
        <x:v>45910</x:v>
      </x:c>
      <x:c r="D203" s="5" t="n">
        <x:v>45903</x:v>
      </x:c>
      <x:c r="E203" s="1" t="str">
        <x:v>Design</x:v>
      </x:c>
      <x:c r="F203" s="1" t="str">
        <x:v>E-book</x:v>
      </x:c>
      <x:c r="G203" s="1" t="str">
        <x:v>Medium</x:v>
      </x:c>
      <x:c r="H203" s="1" t="str">
        <x:v>Manual</x:v>
      </x:c>
      <x:c r="I203" s="1" t="str">
        <x:v>Manual / NA</x:v>
      </x:c>
      <x:c r="J203" s="1" t="n">
        <x:v>44</x:v>
      </x:c>
      <x:c r="K203" s="6" t="n">
        <x:v>17.8</x:v>
      </x:c>
      <x:c r="L203" s="6" t="n">
        <x:v>16.7</x:v>
      </x:c>
      <x:c r="M203" s="6" t="n">
        <x:v>0</x:v>
      </x:c>
      <x:c r="N203" s="6" t="n">
        <x:v>19555.86</x:v>
      </x:c>
      <x:c r="O203" s="6" t="n">
        <x:v>18391.84</x:v>
      </x:c>
      <x:c r="P203" s="6" t="n">
        <x:v>0</x:v>
      </x:c>
      <x:c r="Q203" s="1" t="n">
        <x:v>0</x:v>
      </x:c>
      <x:c r="R203" s="1" t="str">
        <x:v>Yes</x:v>
      </x:c>
      <x:c r="S203" s="7" t="n">
        <x:v>77.8</x:v>
      </x:c>
      <x:c r="T203" s="1" t="str">
        <x:v>Yes</x:v>
      </x:c>
      <x:c r="U203" s="1" t="str">
        <x:v>Completed</x:v>
      </x:c>
    </x:row>
    <x:row r="204">
      <x:c r="A204" s="1" t="str">
        <x:v>PUB-0203</x:v>
      </x:c>
      <x:c r="B204" s="5" t="n">
        <x:v>45744</x:v>
      </x:c>
      <x:c r="C204" s="5" t="n">
        <x:v>45753</x:v>
      </x:c>
      <x:c r="D204" s="5" t="n">
        <x:v>45745</x:v>
      </x:c>
      <x:c r="E204" s="1" t="str">
        <x:v>Production</x:v>
      </x:c>
      <x:c r="F204" s="1" t="str">
        <x:v>Assessment</x:v>
      </x:c>
      <x:c r="G204" s="1" t="str">
        <x:v>Medium</x:v>
      </x:c>
      <x:c r="H204" s="1" t="str">
        <x:v>AI-Assisted</x:v>
      </x:c>
      <x:c r="I204" s="1" t="str">
        <x:v>Few-shot v2</x:v>
      </x:c>
      <x:c r="J204" s="1" t="n">
        <x:v>11</x:v>
      </x:c>
      <x:c r="K204" s="6" t="n">
        <x:v>3.4</x:v>
      </x:c>
      <x:c r="L204" s="6" t="n">
        <x:v>6.3</x:v>
      </x:c>
      <x:c r="M204" s="6" t="n">
        <x:v>2.9</x:v>
      </x:c>
      <x:c r="N204" s="6" t="n">
        <x:v>2653.68</x:v>
      </x:c>
      <x:c r="O204" s="6" t="n">
        <x:v>4911.98</x:v>
      </x:c>
      <x:c r="P204" s="6" t="n">
        <x:v>2258.3</x:v>
      </x:c>
      <x:c r="Q204" s="1" t="n">
        <x:v>0</x:v>
      </x:c>
      <x:c r="R204" s="1" t="str">
        <x:v>Yes</x:v>
      </x:c>
      <x:c r="S204" s="7" t="n">
        <x:v>91.7</x:v>
      </x:c>
      <x:c r="T204" s="1" t="str">
        <x:v>Yes</x:v>
      </x:c>
      <x:c r="U204" s="1" t="str">
        <x:v>Completed</x:v>
      </x:c>
    </x:row>
    <x:row r="205">
      <x:c r="A205" s="1" t="str">
        <x:v>PUB-0204</x:v>
      </x:c>
      <x:c r="B205" s="5" t="n">
        <x:v>45936</x:v>
      </x:c>
      <x:c r="C205" s="5" t="n">
        <x:v>45946</x:v>
      </x:c>
      <x:c r="D205" s="5" t="n">
        <x:v>45937</x:v>
      </x:c>
      <x:c r="E205" s="1" t="str">
        <x:v>Editorial</x:v>
      </x:c>
      <x:c r="F205" s="1" t="str">
        <x:v>E-book</x:v>
      </x:c>
      <x:c r="G205" s="1" t="str">
        <x:v>Low</x:v>
      </x:c>
      <x:c r="H205" s="1" t="str">
        <x:v>AI-Assisted</x:v>
      </x:c>
      <x:c r="I205" s="1" t="str">
        <x:v>Editorial QA</x:v>
      </x:c>
      <x:c r="J205" s="1" t="n">
        <x:v>35</x:v>
      </x:c>
      <x:c r="K205" s="6" t="n">
        <x:v>6.7</x:v>
      </x:c>
      <x:c r="L205" s="6" t="n">
        <x:v>11.4</x:v>
      </x:c>
      <x:c r="M205" s="6" t="n">
        <x:v>4.7</x:v>
      </x:c>
      <x:c r="N205" s="6" t="n">
        <x:v>5716.82</x:v>
      </x:c>
      <x:c r="O205" s="6" t="n">
        <x:v>9701.41</x:v>
      </x:c>
      <x:c r="P205" s="6" t="n">
        <x:v>3984.59</x:v>
      </x:c>
      <x:c r="Q205" s="1" t="n">
        <x:v>0</x:v>
      </x:c>
      <x:c r="R205" s="1" t="str">
        <x:v>Yes</x:v>
      </x:c>
      <x:c r="S205" s="7" t="n">
        <x:v>80.9</x:v>
      </x:c>
      <x:c r="T205" s="1" t="str">
        <x:v>Yes</x:v>
      </x:c>
      <x:c r="U205" s="1" t="str">
        <x:v>Completed</x:v>
      </x:c>
    </x:row>
    <x:row r="206">
      <x:c r="A206" s="1" t="str">
        <x:v>PUB-0205</x:v>
      </x:c>
      <x:c r="B206" s="5" t="n">
        <x:v>46132</x:v>
      </x:c>
      <x:c r="C206" s="5" t="n">
        <x:v>46148</x:v>
      </x:c>
      <x:c r="D206" s="5" t="n">
        <x:v>46146</x:v>
      </x:c>
      <x:c r="E206" s="1" t="str">
        <x:v>Editorial</x:v>
      </x:c>
      <x:c r="F206" s="1" t="str">
        <x:v>School Textbook</x:v>
      </x:c>
      <x:c r="G206" s="1" t="str">
        <x:v>Medium</x:v>
      </x:c>
      <x:c r="H206" s="1" t="str">
        <x:v>AI-Assisted</x:v>
      </x:c>
      <x:c r="I206" s="1" t="str">
        <x:v>Editorial QA</x:v>
      </x:c>
      <x:c r="J206" s="1" t="n">
        <x:v>219</x:v>
      </x:c>
      <x:c r="K206" s="6" t="n">
        <x:v>57.4</x:v>
      </x:c>
      <x:c r="L206" s="6" t="n">
        <x:v>107.9</x:v>
      </x:c>
      <x:c r="M206" s="6" t="n">
        <x:v>50.5</x:v>
      </x:c>
      <x:c r="N206" s="6" t="n">
        <x:v>61893.65</x:v>
      </x:c>
      <x:c r="O206" s="6" t="n">
        <x:v>116354.8</x:v>
      </x:c>
      <x:c r="P206" s="6" t="n">
        <x:v>54461.15</x:v>
      </x:c>
      <x:c r="Q206" s="1" t="n">
        <x:v>2</x:v>
      </x:c>
      <x:c r="R206" s="1" t="str">
        <x:v>No</x:v>
      </x:c>
      <x:c r="S206" s="7" t="n">
        <x:v>91.2</x:v>
      </x:c>
      <x:c r="T206" s="1" t="str">
        <x:v>Yes</x:v>
      </x:c>
      <x:c r="U206" s="1" t="str">
        <x:v>Completed</x:v>
      </x:c>
    </x:row>
    <x:row r="207">
      <x:c r="A207" s="1" t="str">
        <x:v>PUB-0206</x:v>
      </x:c>
      <x:c r="B207" s="5" t="n">
        <x:v>45836</x:v>
      </x:c>
      <x:c r="C207" s="5" t="n">
        <x:v>45842</x:v>
      </x:c>
      <x:c r="D207" s="5" t="n">
        <x:v>45840</x:v>
      </x:c>
      <x:c r="E207" s="1" t="str">
        <x:v>Editorial</x:v>
      </x:c>
      <x:c r="F207" s="1" t="str">
        <x:v>Workbook</x:v>
      </x:c>
      <x:c r="G207" s="1" t="str">
        <x:v>Low</x:v>
      </x:c>
      <x:c r="H207" s="1" t="str">
        <x:v>AI-Assisted</x:v>
      </x:c>
      <x:c r="I207" s="1" t="str">
        <x:v>Editorial QA</x:v>
      </x:c>
      <x:c r="J207" s="1" t="n">
        <x:v>71</x:v>
      </x:c>
      <x:c r="K207" s="6" t="n">
        <x:v>14.9</x:v>
      </x:c>
      <x:c r="L207" s="6" t="n">
        <x:v>22.3</x:v>
      </x:c>
      <x:c r="M207" s="6" t="n">
        <x:v>7.4</x:v>
      </x:c>
      <x:c r="N207" s="6" t="n">
        <x:v>10589.83</x:v>
      </x:c>
      <x:c r="O207" s="6" t="n">
        <x:v>15823.95</x:v>
      </x:c>
      <x:c r="P207" s="6" t="n">
        <x:v>5234.12</x:v>
      </x:c>
      <x:c r="Q207" s="1" t="n">
        <x:v>2</x:v>
      </x:c>
      <x:c r="R207" s="1" t="str">
        <x:v>No</x:v>
      </x:c>
      <x:c r="S207" s="7" t="n">
        <x:v>84.7</x:v>
      </x:c>
      <x:c r="T207" s="1" t="str">
        <x:v>Yes</x:v>
      </x:c>
      <x:c r="U207" s="1" t="str">
        <x:v>Completed</x:v>
      </x:c>
    </x:row>
    <x:row r="208">
      <x:c r="A208" s="1" t="str">
        <x:v>PUB-0207</x:v>
      </x:c>
      <x:c r="B208" s="5" t="n">
        <x:v>46068</x:v>
      </x:c>
      <x:c r="C208" s="5" t="n">
        <x:v>46078</x:v>
      </x:c>
      <x:c r="D208" s="5" t="n">
        <x:v>46070</x:v>
      </x:c>
      <x:c r="E208" s="1" t="str">
        <x:v>Design</x:v>
      </x:c>
      <x:c r="F208" s="1" t="str">
        <x:v>Assessment</x:v>
      </x:c>
      <x:c r="G208" s="1" t="str">
        <x:v>High</x:v>
      </x:c>
      <x:c r="H208" s="1" t="str">
        <x:v>AI-Assisted</x:v>
      </x:c>
      <x:c r="I208" s="1" t="str">
        <x:v>Editorial QA</x:v>
      </x:c>
      <x:c r="J208" s="1" t="n">
        <x:v>37</x:v>
      </x:c>
      <x:c r="K208" s="6" t="n">
        <x:v>13.2</x:v>
      </x:c>
      <x:c r="L208" s="6" t="n">
        <x:v>18.4</x:v>
      </x:c>
      <x:c r="M208" s="6" t="n">
        <x:v>5.2</x:v>
      </x:c>
      <x:c r="N208" s="6" t="n">
        <x:v>9885.15</x:v>
      </x:c>
      <x:c r="O208" s="6" t="n">
        <x:v>13770.41</x:v>
      </x:c>
      <x:c r="P208" s="6" t="n">
        <x:v>3885.26</x:v>
      </x:c>
      <x:c r="Q208" s="1" t="n">
        <x:v>0</x:v>
      </x:c>
      <x:c r="R208" s="1" t="str">
        <x:v>Yes</x:v>
      </x:c>
      <x:c r="S208" s="7" t="n">
        <x:v>89.9</x:v>
      </x:c>
      <x:c r="T208" s="1" t="str">
        <x:v>Yes</x:v>
      </x:c>
      <x:c r="U208" s="1" t="str">
        <x:v>Completed</x:v>
      </x:c>
    </x:row>
    <x:row r="209">
      <x:c r="A209" s="1" t="str">
        <x:v>PUB-0208</x:v>
      </x:c>
      <x:c r="B209" s="5" t="n">
        <x:v>46130</x:v>
      </x:c>
      <x:c r="C209" s="5" t="n">
        <x:v>46142</x:v>
      </x:c>
      <x:c r="D209" s="5" t="str"/>
      <x:c r="E209" s="1" t="str">
        <x:v>Editorial</x:v>
      </x:c>
      <x:c r="F209" s="1" t="str">
        <x:v>E-book</x:v>
      </x:c>
      <x:c r="G209" s="1" t="str">
        <x:v>Low</x:v>
      </x:c>
      <x:c r="H209" s="1" t="str">
        <x:v>AI-Assisted</x:v>
      </x:c>
      <x:c r="I209" s="1" t="str">
        <x:v>Editorial QA</x:v>
      </x:c>
      <x:c r="J209" s="1" t="n">
        <x:v>135</x:v>
      </x:c>
      <x:c r="K209" s="6" t="n">
        <x:v>29.5</x:v>
      </x:c>
      <x:c r="L209" s="6" t="n">
        <x:v>56.5</x:v>
      </x:c>
      <x:c r="M209" s="6" t="n">
        <x:v>27</x:v>
      </x:c>
      <x:c r="N209" s="6" t="n">
        <x:v>22342.06</x:v>
      </x:c>
      <x:c r="O209" s="6" t="n">
        <x:v>42783.89</x:v>
      </x:c>
      <x:c r="P209" s="6" t="n">
        <x:v>20441.83</x:v>
      </x:c>
      <x:c r="Q209" s="1" t="n">
        <x:v>0</x:v>
      </x:c>
      <x:c r="R209" s="1" t="str"/>
      <x:c r="S209" s="7" t="n">
        <x:v>86.7</x:v>
      </x:c>
      <x:c r="T209" s="1" t="str"/>
      <x:c r="U209" s="1" t="str">
        <x:v>In Review</x:v>
      </x:c>
    </x:row>
    <x:row r="210">
      <x:c r="A210" s="1" t="str">
        <x:v>PUB-0209</x:v>
      </x:c>
      <x:c r="B210" s="5" t="n">
        <x:v>45693</x:v>
      </x:c>
      <x:c r="C210" s="5" t="n">
        <x:v>45704</x:v>
      </x:c>
      <x:c r="D210" s="5" t="n">
        <x:v>45695</x:v>
      </x:c>
      <x:c r="E210" s="1" t="str">
        <x:v>Production</x:v>
      </x:c>
      <x:c r="F210" s="1" t="str">
        <x:v>Assessment</x:v>
      </x:c>
      <x:c r="G210" s="1" t="str">
        <x:v>Low</x:v>
      </x:c>
      <x:c r="H210" s="1" t="str">
        <x:v>AI-Assisted</x:v>
      </x:c>
      <x:c r="I210" s="1" t="str">
        <x:v>Few-shot v2</x:v>
      </x:c>
      <x:c r="J210" s="1" t="n">
        <x:v>65</x:v>
      </x:c>
      <x:c r="K210" s="6" t="n">
        <x:v>11.5</x:v>
      </x:c>
      <x:c r="L210" s="6" t="n">
        <x:v>22.5</x:v>
      </x:c>
      <x:c r="M210" s="6" t="n">
        <x:v>11</x:v>
      </x:c>
      <x:c r="N210" s="6" t="n">
        <x:v>8621.88</x:v>
      </x:c>
      <x:c r="O210" s="6" t="n">
        <x:v>16845.4</x:v>
      </x:c>
      <x:c r="P210" s="6" t="n">
        <x:v>8223.52</x:v>
      </x:c>
      <x:c r="Q210" s="1" t="n">
        <x:v>0</x:v>
      </x:c>
      <x:c r="R210" s="1" t="str">
        <x:v>Yes</x:v>
      </x:c>
      <x:c r="S210" s="7" t="n">
        <x:v>81.3</x:v>
      </x:c>
      <x:c r="T210" s="1" t="str">
        <x:v>Yes</x:v>
      </x:c>
      <x:c r="U210" s="1" t="str">
        <x:v>Completed</x:v>
      </x:c>
    </x:row>
    <x:row r="211">
      <x:c r="A211" s="1" t="str">
        <x:v>PUB-0210</x:v>
      </x:c>
      <x:c r="B211" s="5" t="n">
        <x:v>46049</x:v>
      </x:c>
      <x:c r="C211" s="5" t="n">
        <x:v>46066</x:v>
      </x:c>
      <x:c r="D211" s="5" t="n">
        <x:v>46054</x:v>
      </x:c>
      <x:c r="E211" s="1" t="str">
        <x:v>Production</x:v>
      </x:c>
      <x:c r="F211" s="1" t="str">
        <x:v>Workbook</x:v>
      </x:c>
      <x:c r="G211" s="1" t="str">
        <x:v>Medium</x:v>
      </x:c>
      <x:c r="H211" s="1" t="str">
        <x:v>AI-Assisted</x:v>
      </x:c>
      <x:c r="I211" s="1" t="str">
        <x:v>Few-shot v2</x:v>
      </x:c>
      <x:c r="J211" s="1" t="n">
        <x:v>152</x:v>
      </x:c>
      <x:c r="K211" s="6" t="n">
        <x:v>35.4</x:v>
      </x:c>
      <x:c r="L211" s="6" t="n">
        <x:v>67.7</x:v>
      </x:c>
      <x:c r="M211" s="6" t="n">
        <x:v>32.3</x:v>
      </x:c>
      <x:c r="N211" s="6" t="n">
        <x:v>28654.13</x:v>
      </x:c>
      <x:c r="O211" s="6" t="n">
        <x:v>54805.05</x:v>
      </x:c>
      <x:c r="P211" s="6" t="n">
        <x:v>26150.92</x:v>
      </x:c>
      <x:c r="Q211" s="1" t="n">
        <x:v>0</x:v>
      </x:c>
      <x:c r="R211" s="1" t="str">
        <x:v>Yes</x:v>
      </x:c>
      <x:c r="S211" s="7" t="n">
        <x:v>87.7</x:v>
      </x:c>
      <x:c r="T211" s="1" t="str">
        <x:v>Yes</x:v>
      </x:c>
      <x:c r="U211" s="1" t="str">
        <x:v>Completed</x:v>
      </x:c>
    </x:row>
    <x:row r="212">
      <x:c r="A212" s="1" t="str">
        <x:v>PUB-0211</x:v>
      </x:c>
      <x:c r="B212" s="5" t="n">
        <x:v>46141</x:v>
      </x:c>
      <x:c r="C212" s="5" t="n">
        <x:v>46146</x:v>
      </x:c>
      <x:c r="D212" s="5" t="n">
        <x:v>46142</x:v>
      </x:c>
      <x:c r="E212" s="1" t="str">
        <x:v>Design</x:v>
      </x:c>
      <x:c r="F212" s="1" t="str">
        <x:v>Illustration</x:v>
      </x:c>
      <x:c r="G212" s="1" t="str">
        <x:v>Low</x:v>
      </x:c>
      <x:c r="H212" s="1" t="str">
        <x:v>Manual</x:v>
      </x:c>
      <x:c r="I212" s="1" t="str">
        <x:v>Manual / NA</x:v>
      </x:c>
      <x:c r="J212" s="1" t="n">
        <x:v>24</x:v>
      </x:c>
      <x:c r="K212" s="6" t="n">
        <x:v>9.3</x:v>
      </x:c>
      <x:c r="L212" s="6" t="n">
        <x:v>9.9</x:v>
      </x:c>
      <x:c r="M212" s="6" t="n">
        <x:v>0.6</x:v>
      </x:c>
      <x:c r="N212" s="6" t="n">
        <x:v>9840.73</x:v>
      </x:c>
      <x:c r="O212" s="6" t="n">
        <x:v>10506.04</x:v>
      </x:c>
      <x:c r="P212" s="6" t="n">
        <x:v>665.31</x:v>
      </x:c>
      <x:c r="Q212" s="1" t="n">
        <x:v>0</x:v>
      </x:c>
      <x:c r="R212" s="1" t="str">
        <x:v>Yes</x:v>
      </x:c>
      <x:c r="S212" s="7" t="n">
        <x:v>99</x:v>
      </x:c>
      <x:c r="T212" s="1" t="str">
        <x:v>Yes</x:v>
      </x:c>
      <x:c r="U212" s="1" t="str">
        <x:v>Completed</x:v>
      </x:c>
    </x:row>
    <x:row r="213">
      <x:c r="A213" s="1" t="str">
        <x:v>PUB-0212</x:v>
      </x:c>
      <x:c r="B213" s="5" t="n">
        <x:v>46055</x:v>
      </x:c>
      <x:c r="C213" s="5" t="n">
        <x:v>46064</x:v>
      </x:c>
      <x:c r="D213" s="5" t="n">
        <x:v>46056</x:v>
      </x:c>
      <x:c r="E213" s="1" t="str">
        <x:v>Design</x:v>
      </x:c>
      <x:c r="F213" s="1" t="str">
        <x:v>Illustration</x:v>
      </x:c>
      <x:c r="G213" s="1" t="str">
        <x:v>Low</x:v>
      </x:c>
      <x:c r="H213" s="1" t="str">
        <x:v>Manual</x:v>
      </x:c>
      <x:c r="I213" s="1" t="str">
        <x:v>Manual / NA</x:v>
      </x:c>
      <x:c r="J213" s="1" t="n">
        <x:v>26</x:v>
      </x:c>
      <x:c r="K213" s="6" t="n">
        <x:v>9.4</x:v>
      </x:c>
      <x:c r="L213" s="6" t="n">
        <x:v>9.2</x:v>
      </x:c>
      <x:c r="M213" s="6" t="n">
        <x:v>0</x:v>
      </x:c>
      <x:c r="N213" s="6" t="n">
        <x:v>7796.28</x:v>
      </x:c>
      <x:c r="O213" s="6" t="n">
        <x:v>7602.84</x:v>
      </x:c>
      <x:c r="P213" s="6" t="n">
        <x:v>0</x:v>
      </x:c>
      <x:c r="Q213" s="1" t="n">
        <x:v>0</x:v>
      </x:c>
      <x:c r="R213" s="1" t="str">
        <x:v>Yes</x:v>
      </x:c>
      <x:c r="S213" s="7" t="n">
        <x:v>91.3</x:v>
      </x:c>
      <x:c r="T213" s="1" t="str">
        <x:v>Yes</x:v>
      </x:c>
      <x:c r="U213" s="1" t="str">
        <x:v>Completed</x:v>
      </x:c>
    </x:row>
    <x:row r="214">
      <x:c r="A214" s="1" t="str">
        <x:v>PUB-0213</x:v>
      </x:c>
      <x:c r="B214" s="5" t="n">
        <x:v>45803</x:v>
      </x:c>
      <x:c r="C214" s="5" t="n">
        <x:v>45814</x:v>
      </x:c>
      <x:c r="D214" s="5" t="n">
        <x:v>45809</x:v>
      </x:c>
      <x:c r="E214" s="1" t="str">
        <x:v>Design</x:v>
      </x:c>
      <x:c r="F214" s="1" t="str">
        <x:v>School Textbook</x:v>
      </x:c>
      <x:c r="G214" s="1" t="str">
        <x:v>Medium</x:v>
      </x:c>
      <x:c r="H214" s="1" t="str">
        <x:v>Manual</x:v>
      </x:c>
      <x:c r="I214" s="1" t="str">
        <x:v>Manual / NA</x:v>
      </x:c>
      <x:c r="J214" s="1" t="n">
        <x:v>134</x:v>
      </x:c>
      <x:c r="K214" s="6" t="n">
        <x:v>47.4</x:v>
      </x:c>
      <x:c r="L214" s="6" t="n">
        <x:v>53.4</x:v>
      </x:c>
      <x:c r="M214" s="6" t="n">
        <x:v>6</x:v>
      </x:c>
      <x:c r="N214" s="6" t="n">
        <x:v>32141.18</x:v>
      </x:c>
      <x:c r="O214" s="6" t="n">
        <x:v>36220.14</x:v>
      </x:c>
      <x:c r="P214" s="6" t="n">
        <x:v>4078.96</x:v>
      </x:c>
      <x:c r="Q214" s="1" t="n">
        <x:v>0</x:v>
      </x:c>
      <x:c r="R214" s="1" t="str">
        <x:v>Yes</x:v>
      </x:c>
      <x:c r="S214" s="7" t="n">
        <x:v>91.2</x:v>
      </x:c>
      <x:c r="T214" s="1" t="str">
        <x:v>Yes</x:v>
      </x:c>
      <x:c r="U214" s="1" t="str">
        <x:v>Completed</x:v>
      </x:c>
    </x:row>
    <x:row r="215">
      <x:c r="A215" s="1" t="str">
        <x:v>PUB-0214</x:v>
      </x:c>
      <x:c r="B215" s="5" t="n">
        <x:v>45791</x:v>
      </x:c>
      <x:c r="C215" s="5" t="n">
        <x:v>45799</x:v>
      </x:c>
      <x:c r="D215" s="5" t="n">
        <x:v>45796</x:v>
      </x:c>
      <x:c r="E215" s="1" t="str">
        <x:v>Design</x:v>
      </x:c>
      <x:c r="F215" s="1" t="str">
        <x:v>School Textbook</x:v>
      </x:c>
      <x:c r="G215" s="1" t="str">
        <x:v>Low</x:v>
      </x:c>
      <x:c r="H215" s="1" t="str">
        <x:v>Manual</x:v>
      </x:c>
      <x:c r="I215" s="1" t="str">
        <x:v>Manual / NA</x:v>
      </x:c>
      <x:c r="J215" s="1" t="n">
        <x:v>90</x:v>
      </x:c>
      <x:c r="K215" s="6" t="n">
        <x:v>29.6</x:v>
      </x:c>
      <x:c r="L215" s="6" t="n">
        <x:v>29</x:v>
      </x:c>
      <x:c r="M215" s="6" t="n">
        <x:v>0</x:v>
      </x:c>
      <x:c r="N215" s="6" t="n">
        <x:v>21336.46</x:v>
      </x:c>
      <x:c r="O215" s="6" t="n">
        <x:v>20879.64</x:v>
      </x:c>
      <x:c r="P215" s="6" t="n">
        <x:v>0</x:v>
      </x:c>
      <x:c r="Q215" s="1" t="n">
        <x:v>1</x:v>
      </x:c>
      <x:c r="R215" s="1" t="str">
        <x:v>No</x:v>
      </x:c>
      <x:c r="S215" s="7" t="n">
        <x:v>84.2</x:v>
      </x:c>
      <x:c r="T215" s="1" t="str">
        <x:v>Yes</x:v>
      </x:c>
      <x:c r="U215" s="1" t="str">
        <x:v>Completed</x:v>
      </x:c>
    </x:row>
    <x:row r="216">
      <x:c r="A216" s="1" t="str">
        <x:v>PUB-0215</x:v>
      </x:c>
      <x:c r="B216" s="5" t="n">
        <x:v>46063</x:v>
      </x:c>
      <x:c r="C216" s="5" t="n">
        <x:v>46089</x:v>
      </x:c>
      <x:c r="D216" s="5" t="n">
        <x:v>46082</x:v>
      </x:c>
      <x:c r="E216" s="1" t="str">
        <x:v>Production</x:v>
      </x:c>
      <x:c r="F216" s="1" t="str">
        <x:v>Workbook</x:v>
      </x:c>
      <x:c r="G216" s="1" t="str">
        <x:v>High</x:v>
      </x:c>
      <x:c r="H216" s="1" t="str">
        <x:v>AI-Assisted</x:v>
      </x:c>
      <x:c r="I216" s="1" t="str">
        <x:v>Visual Brief</x:v>
      </x:c>
      <x:c r="J216" s="1" t="n">
        <x:v>195</x:v>
      </x:c>
      <x:c r="K216" s="6" t="n">
        <x:v>97.7</x:v>
      </x:c>
      <x:c r="L216" s="6" t="n">
        <x:v>137.5</x:v>
      </x:c>
      <x:c r="M216" s="6" t="n">
        <x:v>39.8</x:v>
      </x:c>
      <x:c r="N216" s="6" t="n">
        <x:v>95217.46</x:v>
      </x:c>
      <x:c r="O216" s="6" t="n">
        <x:v>134010.49</x:v>
      </x:c>
      <x:c r="P216" s="6" t="n">
        <x:v>38793.03</x:v>
      </x:c>
      <x:c r="Q216" s="1" t="n">
        <x:v>3</x:v>
      </x:c>
      <x:c r="R216" s="1" t="str">
        <x:v>No</x:v>
      </x:c>
      <x:c r="S216" s="7" t="n">
        <x:v>79.8</x:v>
      </x:c>
      <x:c r="T216" s="1" t="str">
        <x:v>Yes</x:v>
      </x:c>
      <x:c r="U216" s="1" t="str">
        <x:v>Completed</x:v>
      </x:c>
    </x:row>
    <x:row r="217">
      <x:c r="A217" s="1" t="str">
        <x:v>PUB-0216</x:v>
      </x:c>
      <x:c r="B217" s="5" t="n">
        <x:v>45837</x:v>
      </x:c>
      <x:c r="C217" s="5" t="n">
        <x:v>45841</x:v>
      </x:c>
      <x:c r="D217" s="5" t="n">
        <x:v>45838</x:v>
      </x:c>
      <x:c r="E217" s="1" t="str">
        <x:v>Design</x:v>
      </x:c>
      <x:c r="F217" s="1" t="str">
        <x:v>Illustration</x:v>
      </x:c>
      <x:c r="G217" s="1" t="str">
        <x:v>High</x:v>
      </x:c>
      <x:c r="H217" s="1" t="str">
        <x:v>AI-Assisted</x:v>
      </x:c>
      <x:c r="I217" s="1" t="str">
        <x:v>Structured v3</x:v>
      </x:c>
      <x:c r="J217" s="1" t="n">
        <x:v>4</x:v>
      </x:c>
      <x:c r="K217" s="6" t="n">
        <x:v>1.7</x:v>
      </x:c>
      <x:c r="L217" s="6" t="n">
        <x:v>3</x:v>
      </x:c>
      <x:c r="M217" s="6" t="n">
        <x:v>1.3</x:v>
      </x:c>
      <x:c r="N217" s="6" t="n">
        <x:v>1950.14</x:v>
      </x:c>
      <x:c r="O217" s="6" t="n">
        <x:v>3444.65</x:v>
      </x:c>
      <x:c r="P217" s="6" t="n">
        <x:v>1494.51</x:v>
      </x:c>
      <x:c r="Q217" s="1" t="n">
        <x:v>0</x:v>
      </x:c>
      <x:c r="R217" s="1" t="str">
        <x:v>Yes</x:v>
      </x:c>
      <x:c r="S217" s="7" t="n">
        <x:v>77.1</x:v>
      </x:c>
      <x:c r="T217" s="1" t="str">
        <x:v>Yes</x:v>
      </x:c>
      <x:c r="U217" s="1" t="str">
        <x:v>Completed</x:v>
      </x:c>
    </x:row>
    <x:row r="218">
      <x:c r="A218" s="1" t="str">
        <x:v>PUB-0217</x:v>
      </x:c>
      <x:c r="B218" s="5" t="n">
        <x:v>45884</x:v>
      </x:c>
      <x:c r="C218" s="5" t="n">
        <x:v>45891</x:v>
      </x:c>
      <x:c r="D218" s="5" t="n">
        <x:v>45887</x:v>
      </x:c>
      <x:c r="E218" s="1" t="str">
        <x:v>Production</x:v>
      </x:c>
      <x:c r="F218" s="1" t="str">
        <x:v>School Textbook</x:v>
      </x:c>
      <x:c r="G218" s="1" t="str">
        <x:v>Low</x:v>
      </x:c>
      <x:c r="H218" s="1" t="str">
        <x:v>AI-Assisted</x:v>
      </x:c>
      <x:c r="I218" s="1" t="str">
        <x:v>Structured v3</x:v>
      </x:c>
      <x:c r="J218" s="1" t="n">
        <x:v>27</x:v>
      </x:c>
      <x:c r="K218" s="6" t="n">
        <x:v>6.6</x:v>
      </x:c>
      <x:c r="L218" s="6" t="n">
        <x:v>12.8</x:v>
      </x:c>
      <x:c r="M218" s="6" t="n">
        <x:v>6.2</x:v>
      </x:c>
      <x:c r="N218" s="6" t="n">
        <x:v>7211.56</x:v>
      </x:c>
      <x:c r="O218" s="6" t="n">
        <x:v>13937.29</x:v>
      </x:c>
      <x:c r="P218" s="6" t="n">
        <x:v>6725.73</x:v>
      </x:c>
      <x:c r="Q218" s="1" t="n">
        <x:v>2</x:v>
      </x:c>
      <x:c r="R218" s="1" t="str">
        <x:v>No</x:v>
      </x:c>
      <x:c r="S218" s="7" t="n">
        <x:v>78.4</x:v>
      </x:c>
      <x:c r="T218" s="1" t="str">
        <x:v>Yes</x:v>
      </x:c>
      <x:c r="U218" s="1" t="str">
        <x:v>Completed</x:v>
      </x:c>
    </x:row>
    <x:row r="219">
      <x:c r="A219" s="1" t="str">
        <x:v>PUB-0218</x:v>
      </x:c>
      <x:c r="B219" s="5" t="n">
        <x:v>45913</x:v>
      </x:c>
      <x:c r="C219" s="5" t="n">
        <x:v>45927</x:v>
      </x:c>
      <x:c r="D219" s="5" t="n">
        <x:v>45923</x:v>
      </x:c>
      <x:c r="E219" s="1" t="str">
        <x:v>Production</x:v>
      </x:c>
      <x:c r="F219" s="1" t="str">
        <x:v>Workbook</x:v>
      </x:c>
      <x:c r="G219" s="1" t="str">
        <x:v>Low</x:v>
      </x:c>
      <x:c r="H219" s="1" t="str">
        <x:v>Manual</x:v>
      </x:c>
      <x:c r="I219" s="1" t="str">
        <x:v>Manual / NA</x:v>
      </x:c>
      <x:c r="J219" s="1" t="n">
        <x:v>192</x:v>
      </x:c>
      <x:c r="K219" s="6" t="n">
        <x:v>71.9</x:v>
      </x:c>
      <x:c r="L219" s="6" t="n">
        <x:v>70</x:v>
      </x:c>
      <x:c r="M219" s="6" t="n">
        <x:v>0</x:v>
      </x:c>
      <x:c r="N219" s="6" t="n">
        <x:v>81574.21</x:v>
      </x:c>
      <x:c r="O219" s="6" t="n">
        <x:v>79470.78</x:v>
      </x:c>
      <x:c r="P219" s="6" t="n">
        <x:v>0</x:v>
      </x:c>
      <x:c r="Q219" s="1" t="n">
        <x:v>0</x:v>
      </x:c>
      <x:c r="R219" s="1" t="str">
        <x:v>Yes</x:v>
      </x:c>
      <x:c r="S219" s="7" t="n">
        <x:v>76.2</x:v>
      </x:c>
      <x:c r="T219" s="1" t="str">
        <x:v>Yes</x:v>
      </x:c>
      <x:c r="U219" s="1" t="str">
        <x:v>Completed</x:v>
      </x:c>
    </x:row>
    <x:row r="220">
      <x:c r="A220" s="1" t="str">
        <x:v>PUB-0219</x:v>
      </x:c>
      <x:c r="B220" s="5" t="n">
        <x:v>46042</x:v>
      </x:c>
      <x:c r="C220" s="5" t="n">
        <x:v>46056</x:v>
      </x:c>
      <x:c r="D220" s="5" t="str"/>
      <x:c r="E220" s="1" t="str">
        <x:v>Editorial</x:v>
      </x:c>
      <x:c r="F220" s="1" t="str">
        <x:v>Workbook</x:v>
      </x:c>
      <x:c r="G220" s="1" t="str">
        <x:v>Medium</x:v>
      </x:c>
      <x:c r="H220" s="1" t="str">
        <x:v>Manual</x:v>
      </x:c>
      <x:c r="I220" s="1" t="str">
        <x:v>Manual / NA</x:v>
      </x:c>
      <x:c r="J220" s="1" t="n">
        <x:v>174</x:v>
      </x:c>
      <x:c r="K220" s="6" t="n">
        <x:v>69.2</x:v>
      </x:c>
      <x:c r="L220" s="6" t="n">
        <x:v>71.3</x:v>
      </x:c>
      <x:c r="M220" s="6" t="n">
        <x:v>2.1</x:v>
      </x:c>
      <x:c r="N220" s="6" t="n">
        <x:v>72632.13</x:v>
      </x:c>
      <x:c r="O220" s="6" t="n">
        <x:v>74810.37</x:v>
      </x:c>
      <x:c r="P220" s="6" t="n">
        <x:v>2178.24</x:v>
      </x:c>
      <x:c r="Q220" s="1" t="n">
        <x:v>1</x:v>
      </x:c>
      <x:c r="R220" s="1" t="str"/>
      <x:c r="S220" s="7" t="n">
        <x:v>83.2</x:v>
      </x:c>
      <x:c r="T220" s="1" t="str"/>
      <x:c r="U220" s="1" t="str">
        <x:v>In Review</x:v>
      </x:c>
    </x:row>
    <x:row r="221">
      <x:c r="A221" s="1" t="str">
        <x:v>PUB-0220</x:v>
      </x:c>
      <x:c r="B221" s="5" t="n">
        <x:v>45822</x:v>
      </x:c>
      <x:c r="C221" s="5" t="n">
        <x:v>45831</x:v>
      </x:c>
      <x:c r="D221" s="5" t="n">
        <x:v>45823</x:v>
      </x:c>
      <x:c r="E221" s="1" t="str">
        <x:v>Production</x:v>
      </x:c>
      <x:c r="F221" s="1" t="str">
        <x:v>Assessment</x:v>
      </x:c>
      <x:c r="G221" s="1" t="str">
        <x:v>Medium</x:v>
      </x:c>
      <x:c r="H221" s="1" t="str">
        <x:v>Manual</x:v>
      </x:c>
      <x:c r="I221" s="1" t="str">
        <x:v>Manual / NA</x:v>
      </x:c>
      <x:c r="J221" s="1" t="n">
        <x:v>15</x:v>
      </x:c>
      <x:c r="K221" s="6" t="n">
        <x:v>9.2</x:v>
      </x:c>
      <x:c r="L221" s="6" t="n">
        <x:v>8.7</x:v>
      </x:c>
      <x:c r="M221" s="6" t="n">
        <x:v>0</x:v>
      </x:c>
      <x:c r="N221" s="6" t="n">
        <x:v>9220.72</x:v>
      </x:c>
      <x:c r="O221" s="6" t="n">
        <x:v>8670.9</x:v>
      </x:c>
      <x:c r="P221" s="6" t="n">
        <x:v>0</x:v>
      </x:c>
      <x:c r="Q221" s="1" t="n">
        <x:v>0</x:v>
      </x:c>
      <x:c r="R221" s="1" t="str">
        <x:v>Yes</x:v>
      </x:c>
      <x:c r="S221" s="7" t="n">
        <x:v>87.6</x:v>
      </x:c>
      <x:c r="T221" s="1" t="str">
        <x:v>Yes</x:v>
      </x:c>
      <x:c r="U221" s="1" t="str">
        <x:v>Completed</x:v>
      </x:c>
    </x:row>
    <x:row r="222">
      <x:c r="A222" s="1" t="str">
        <x:v>PUB-0221</x:v>
      </x:c>
      <x:c r="B222" s="5" t="n">
        <x:v>46102</x:v>
      </x:c>
      <x:c r="C222" s="5" t="n">
        <x:v>46122</x:v>
      </x:c>
      <x:c r="D222" s="5" t="n">
        <x:v>46111</x:v>
      </x:c>
      <x:c r="E222" s="1" t="str">
        <x:v>Editorial</x:v>
      </x:c>
      <x:c r="F222" s="1" t="str">
        <x:v>School Textbook</x:v>
      </x:c>
      <x:c r="G222" s="1" t="str">
        <x:v>Medium</x:v>
      </x:c>
      <x:c r="H222" s="1" t="str">
        <x:v>AI-Assisted</x:v>
      </x:c>
      <x:c r="I222" s="1" t="str">
        <x:v>Structured v3</x:v>
      </x:c>
      <x:c r="J222" s="1" t="n">
        <x:v>186</x:v>
      </x:c>
      <x:c r="K222" s="6" t="n">
        <x:v>63.9</x:v>
      </x:c>
      <x:c r="L222" s="6" t="n">
        <x:v>104.8</x:v>
      </x:c>
      <x:c r="M222" s="6" t="n">
        <x:v>40.9</x:v>
      </x:c>
      <x:c r="N222" s="6" t="n">
        <x:v>62641.1</x:v>
      </x:c>
      <x:c r="O222" s="6" t="n">
        <x:v>102769.12</x:v>
      </x:c>
      <x:c r="P222" s="6" t="n">
        <x:v>40128.02</x:v>
      </x:c>
      <x:c r="Q222" s="1" t="n">
        <x:v>0</x:v>
      </x:c>
      <x:c r="R222" s="1" t="str">
        <x:v>Yes</x:v>
      </x:c>
      <x:c r="S222" s="7" t="n">
        <x:v>93.5</x:v>
      </x:c>
      <x:c r="T222" s="1" t="str">
        <x:v>Yes</x:v>
      </x:c>
      <x:c r="U222" s="1" t="str">
        <x:v>Completed</x:v>
      </x:c>
    </x:row>
    <x:row r="223">
      <x:c r="A223" s="1" t="str">
        <x:v>PUB-0222</x:v>
      </x:c>
      <x:c r="B223" s="5" t="n">
        <x:v>46027</x:v>
      </x:c>
      <x:c r="C223" s="5" t="n">
        <x:v>46038</x:v>
      </x:c>
      <x:c r="D223" s="5" t="n">
        <x:v>46035</x:v>
      </x:c>
      <x:c r="E223" s="1" t="str">
        <x:v>Editorial</x:v>
      </x:c>
      <x:c r="F223" s="1" t="str">
        <x:v>School Textbook</x:v>
      </x:c>
      <x:c r="G223" s="1" t="str">
        <x:v>Medium</x:v>
      </x:c>
      <x:c r="H223" s="1" t="str">
        <x:v>Manual</x:v>
      </x:c>
      <x:c r="I223" s="1" t="str">
        <x:v>Manual / NA</x:v>
      </x:c>
      <x:c r="J223" s="1" t="n">
        <x:v>168</x:v>
      </x:c>
      <x:c r="K223" s="6" t="n">
        <x:v>60.1</x:v>
      </x:c>
      <x:c r="L223" s="6" t="n">
        <x:v>67.9</x:v>
      </x:c>
      <x:c r="M223" s="6" t="n">
        <x:v>7.8</x:v>
      </x:c>
      <x:c r="N223" s="6" t="n">
        <x:v>44198.51</x:v>
      </x:c>
      <x:c r="O223" s="6" t="n">
        <x:v>49905.32</x:v>
      </x:c>
      <x:c r="P223" s="6" t="n">
        <x:v>5706.81</x:v>
      </x:c>
      <x:c r="Q223" s="1" t="n">
        <x:v>0</x:v>
      </x:c>
      <x:c r="R223" s="1" t="str">
        <x:v>Yes</x:v>
      </x:c>
      <x:c r="S223" s="7" t="n">
        <x:v>88.1</x:v>
      </x:c>
      <x:c r="T223" s="1" t="str">
        <x:v>Yes</x:v>
      </x:c>
      <x:c r="U223" s="1" t="str">
        <x:v>Completed</x:v>
      </x:c>
    </x:row>
    <x:row r="224">
      <x:c r="A224" s="1" t="str">
        <x:v>PUB-0223</x:v>
      </x:c>
      <x:c r="B224" s="5" t="n">
        <x:v>45973</x:v>
      </x:c>
      <x:c r="C224" s="5" t="n">
        <x:v>45982</x:v>
      </x:c>
      <x:c r="D224" s="5" t="n">
        <x:v>45977</x:v>
      </x:c>
      <x:c r="E224" s="1" t="str">
        <x:v>Production</x:v>
      </x:c>
      <x:c r="F224" s="1" t="str">
        <x:v>Workbook</x:v>
      </x:c>
      <x:c r="G224" s="1" t="str">
        <x:v>Low</x:v>
      </x:c>
      <x:c r="H224" s="1" t="str">
        <x:v>Manual</x:v>
      </x:c>
      <x:c r="I224" s="1" t="str">
        <x:v>Manual / NA</x:v>
      </x:c>
      <x:c r="J224" s="1" t="n">
        <x:v>75</x:v>
      </x:c>
      <x:c r="K224" s="6" t="n">
        <x:v>27.1</x:v>
      </x:c>
      <x:c r="L224" s="6" t="n">
        <x:v>29.5</x:v>
      </x:c>
      <x:c r="M224" s="6" t="n">
        <x:v>2.4</x:v>
      </x:c>
      <x:c r="N224" s="6" t="n">
        <x:v>29613.43</x:v>
      </x:c>
      <x:c r="O224" s="6" t="n">
        <x:v>32238.23</x:v>
      </x:c>
      <x:c r="P224" s="6" t="n">
        <x:v>2624.8</x:v>
      </x:c>
      <x:c r="Q224" s="1" t="n">
        <x:v>0</x:v>
      </x:c>
      <x:c r="R224" s="1" t="str">
        <x:v>Yes</x:v>
      </x:c>
      <x:c r="S224" s="7" t="n">
        <x:v>80.9</x:v>
      </x:c>
      <x:c r="T224" s="1" t="str">
        <x:v>Yes</x:v>
      </x:c>
      <x:c r="U224" s="1" t="str">
        <x:v>Completed</x:v>
      </x:c>
    </x:row>
    <x:row r="225">
      <x:c r="A225" s="1" t="str">
        <x:v>PUB-0224</x:v>
      </x:c>
      <x:c r="B225" s="5" t="n">
        <x:v>45933</x:v>
      </x:c>
      <x:c r="C225" s="5" t="n">
        <x:v>45952</x:v>
      </x:c>
      <x:c r="D225" s="5" t="n">
        <x:v>45941</x:v>
      </x:c>
      <x:c r="E225" s="1" t="str">
        <x:v>Design</x:v>
      </x:c>
      <x:c r="F225" s="1" t="str">
        <x:v>School Textbook</x:v>
      </x:c>
      <x:c r="G225" s="1" t="str">
        <x:v>Medium</x:v>
      </x:c>
      <x:c r="H225" s="1" t="str">
        <x:v>AI-Assisted</x:v>
      </x:c>
      <x:c r="I225" s="1" t="str">
        <x:v>Structured v3</x:v>
      </x:c>
      <x:c r="J225" s="1" t="n">
        <x:v>179</x:v>
      </x:c>
      <x:c r="K225" s="6" t="n">
        <x:v>61.1</x:v>
      </x:c>
      <x:c r="L225" s="6" t="n">
        <x:v>85.8</x:v>
      </x:c>
      <x:c r="M225" s="6" t="n">
        <x:v>24.7</x:v>
      </x:c>
      <x:c r="N225" s="6" t="n">
        <x:v>57731.14</x:v>
      </x:c>
      <x:c r="O225" s="6" t="n">
        <x:v>81033.61</x:v>
      </x:c>
      <x:c r="P225" s="6" t="n">
        <x:v>23302.47</x:v>
      </x:c>
      <x:c r="Q225" s="1" t="n">
        <x:v>0</x:v>
      </x:c>
      <x:c r="R225" s="1" t="str">
        <x:v>Yes</x:v>
      </x:c>
      <x:c r="S225" s="7" t="n">
        <x:v>90.4</x:v>
      </x:c>
      <x:c r="T225" s="1" t="str">
        <x:v>Yes</x:v>
      </x:c>
      <x:c r="U225" s="1" t="str">
        <x:v>Completed</x:v>
      </x:c>
    </x:row>
    <x:row r="226">
      <x:c r="A226" s="1" t="str">
        <x:v>PUB-0225</x:v>
      </x:c>
      <x:c r="B226" s="5" t="n">
        <x:v>46086</x:v>
      </x:c>
      <x:c r="C226" s="5" t="n">
        <x:v>46095</x:v>
      </x:c>
      <x:c r="D226" s="5" t="n">
        <x:v>46088</x:v>
      </x:c>
      <x:c r="E226" s="1" t="str">
        <x:v>Digital Learning</x:v>
      </x:c>
      <x:c r="F226" s="1" t="str">
        <x:v>Illustration</x:v>
      </x:c>
      <x:c r="G226" s="1" t="str">
        <x:v>Medium</x:v>
      </x:c>
      <x:c r="H226" s="1" t="str">
        <x:v>Manual</x:v>
      </x:c>
      <x:c r="I226" s="1" t="str">
        <x:v>Manual / NA</x:v>
      </x:c>
      <x:c r="J226" s="1" t="n">
        <x:v>34</x:v>
      </x:c>
      <x:c r="K226" s="6" t="n">
        <x:v>13.6</x:v>
      </x:c>
      <x:c r="L226" s="6" t="n">
        <x:v>12.8</x:v>
      </x:c>
      <x:c r="M226" s="6" t="n">
        <x:v>0</x:v>
      </x:c>
      <x:c r="N226" s="6" t="n">
        <x:v>13697.28</x:v>
      </x:c>
      <x:c r="O226" s="6" t="n">
        <x:v>12922.36</x:v>
      </x:c>
      <x:c r="P226" s="6" t="n">
        <x:v>0</x:v>
      </x:c>
      <x:c r="Q226" s="1" t="n">
        <x:v>0</x:v>
      </x:c>
      <x:c r="R226" s="1" t="str">
        <x:v>Yes</x:v>
      </x:c>
      <x:c r="S226" s="7" t="n">
        <x:v>93</x:v>
      </x:c>
      <x:c r="T226" s="1" t="str">
        <x:v>Yes</x:v>
      </x:c>
      <x:c r="U226" s="1" t="str">
        <x:v>Completed</x:v>
      </x:c>
    </x:row>
    <x:row r="227">
      <x:c r="A227" s="1" t="str">
        <x:v>PUB-0226</x:v>
      </x:c>
      <x:c r="B227" s="5" t="n">
        <x:v>46117</x:v>
      </x:c>
      <x:c r="C227" s="5" t="n">
        <x:v>46129</x:v>
      </x:c>
      <x:c r="D227" s="5" t="n">
        <x:v>46131</x:v>
      </x:c>
      <x:c r="E227" s="1" t="str">
        <x:v>Editorial</x:v>
      </x:c>
      <x:c r="F227" s="1" t="str">
        <x:v>E-book</x:v>
      </x:c>
      <x:c r="G227" s="1" t="str">
        <x:v>Low</x:v>
      </x:c>
      <x:c r="H227" s="1" t="str">
        <x:v>Manual</x:v>
      </x:c>
      <x:c r="I227" s="1" t="str">
        <x:v>Manual / NA</x:v>
      </x:c>
      <x:c r="J227" s="1" t="n">
        <x:v>214</x:v>
      </x:c>
      <x:c r="K227" s="6" t="n">
        <x:v>58.1</x:v>
      </x:c>
      <x:c r="L227" s="6" t="n">
        <x:v>64.8</x:v>
      </x:c>
      <x:c r="M227" s="6" t="n">
        <x:v>6.7</x:v>
      </x:c>
      <x:c r="N227" s="6" t="n">
        <x:v>57609.79</x:v>
      </x:c>
      <x:c r="O227" s="6" t="n">
        <x:v>64273.42</x:v>
      </x:c>
      <x:c r="P227" s="6" t="n">
        <x:v>6663.63</x:v>
      </x:c>
      <x:c r="Q227" s="1" t="n">
        <x:v>2</x:v>
      </x:c>
      <x:c r="R227" s="1" t="str">
        <x:v>No</x:v>
      </x:c>
      <x:c r="S227" s="7" t="n">
        <x:v>76</x:v>
      </x:c>
      <x:c r="T227" s="1" t="str">
        <x:v>No</x:v>
      </x:c>
      <x:c r="U227" s="1" t="str">
        <x:v>Completed</x:v>
      </x:c>
    </x:row>
    <x:row r="228">
      <x:c r="A228" s="1" t="str">
        <x:v>PUB-0227</x:v>
      </x:c>
      <x:c r="B228" s="5" t="n">
        <x:v>45726</x:v>
      </x:c>
      <x:c r="C228" s="5" t="n">
        <x:v>45734</x:v>
      </x:c>
      <x:c r="D228" s="5" t="n">
        <x:v>45729</x:v>
      </x:c>
      <x:c r="E228" s="1" t="str">
        <x:v>Editorial</x:v>
      </x:c>
      <x:c r="F228" s="1" t="str">
        <x:v>Assessment</x:v>
      </x:c>
      <x:c r="G228" s="1" t="str">
        <x:v>Medium</x:v>
      </x:c>
      <x:c r="H228" s="1" t="str">
        <x:v>AI-Assisted</x:v>
      </x:c>
      <x:c r="I228" s="1" t="str">
        <x:v>Visual Brief</x:v>
      </x:c>
      <x:c r="J228" s="1" t="n">
        <x:v>70</x:v>
      </x:c>
      <x:c r="K228" s="6" t="n">
        <x:v>25.8</x:v>
      </x:c>
      <x:c r="L228" s="6" t="n">
        <x:v>38.7</x:v>
      </x:c>
      <x:c r="M228" s="6" t="n">
        <x:v>12.9</x:v>
      </x:c>
      <x:c r="N228" s="6" t="n">
        <x:v>24807.45</x:v>
      </x:c>
      <x:c r="O228" s="6" t="n">
        <x:v>37164.42</x:v>
      </x:c>
      <x:c r="P228" s="6" t="n">
        <x:v>12356.97</x:v>
      </x:c>
      <x:c r="Q228" s="1" t="n">
        <x:v>0</x:v>
      </x:c>
      <x:c r="R228" s="1" t="str">
        <x:v>Yes</x:v>
      </x:c>
      <x:c r="S228" s="7" t="n">
        <x:v>84</x:v>
      </x:c>
      <x:c r="T228" s="1" t="str">
        <x:v>Yes</x:v>
      </x:c>
      <x:c r="U228" s="1" t="str">
        <x:v>Completed</x:v>
      </x:c>
    </x:row>
    <x:row r="229">
      <x:c r="A229" s="1" t="str">
        <x:v>PUB-0228</x:v>
      </x:c>
      <x:c r="B229" s="5" t="n">
        <x:v>45760</x:v>
      </x:c>
      <x:c r="C229" s="5" t="n">
        <x:v>45767</x:v>
      </x:c>
      <x:c r="D229" s="5" t="n">
        <x:v>45762</x:v>
      </x:c>
      <x:c r="E229" s="1" t="str">
        <x:v>Digital Learning</x:v>
      </x:c>
      <x:c r="F229" s="1" t="str">
        <x:v>Assessment</x:v>
      </x:c>
      <x:c r="G229" s="1" t="str">
        <x:v>High</x:v>
      </x:c>
      <x:c r="H229" s="1" t="str">
        <x:v>AI-Assisted</x:v>
      </x:c>
      <x:c r="I229" s="1" t="str">
        <x:v>Structured v3</x:v>
      </x:c>
      <x:c r="J229" s="1" t="n">
        <x:v>48</x:v>
      </x:c>
      <x:c r="K229" s="6" t="n">
        <x:v>16.9</x:v>
      </x:c>
      <x:c r="L229" s="6" t="n">
        <x:v>26.5</x:v>
      </x:c>
      <x:c r="M229" s="6" t="n">
        <x:v>9.6</x:v>
      </x:c>
      <x:c r="N229" s="6" t="n">
        <x:v>15818.6</x:v>
      </x:c>
      <x:c r="O229" s="6" t="n">
        <x:v>24796.31</x:v>
      </x:c>
      <x:c r="P229" s="6" t="n">
        <x:v>8977.71</x:v>
      </x:c>
      <x:c r="Q229" s="1" t="n">
        <x:v>0</x:v>
      </x:c>
      <x:c r="R229" s="1" t="str">
        <x:v>Yes</x:v>
      </x:c>
      <x:c r="S229" s="7" t="n">
        <x:v>91.8</x:v>
      </x:c>
      <x:c r="T229" s="1" t="str">
        <x:v>Yes</x:v>
      </x:c>
      <x:c r="U229" s="1" t="str">
        <x:v>Completed</x:v>
      </x:c>
    </x:row>
    <x:row r="230">
      <x:c r="A230" s="1" t="str">
        <x:v>PUB-0229</x:v>
      </x:c>
      <x:c r="B230" s="5" t="n">
        <x:v>46069</x:v>
      </x:c>
      <x:c r="C230" s="5" t="n">
        <x:v>46088</x:v>
      </x:c>
      <x:c r="D230" s="5" t="n">
        <x:v>46075</x:v>
      </x:c>
      <x:c r="E230" s="1" t="str">
        <x:v>Editorial</x:v>
      </x:c>
      <x:c r="F230" s="1" t="str">
        <x:v>E-book</x:v>
      </x:c>
      <x:c r="G230" s="1" t="str">
        <x:v>Medium</x:v>
      </x:c>
      <x:c r="H230" s="1" t="str">
        <x:v>AI-Assisted</x:v>
      </x:c>
      <x:c r="I230" s="1" t="str">
        <x:v>Structured v3</x:v>
      </x:c>
      <x:c r="J230" s="1" t="n">
        <x:v>198</x:v>
      </x:c>
      <x:c r="K230" s="6" t="n">
        <x:v>47.2</x:v>
      </x:c>
      <x:c r="L230" s="6" t="n">
        <x:v>83</x:v>
      </x:c>
      <x:c r="M230" s="6" t="n">
        <x:v>35.8</x:v>
      </x:c>
      <x:c r="N230" s="6" t="n">
        <x:v>38653.64</x:v>
      </x:c>
      <x:c r="O230" s="6" t="n">
        <x:v>67954.68</x:v>
      </x:c>
      <x:c r="P230" s="6" t="n">
        <x:v>29301.04</x:v>
      </x:c>
      <x:c r="Q230" s="1" t="n">
        <x:v>0</x:v>
      </x:c>
      <x:c r="R230" s="1" t="str">
        <x:v>Yes</x:v>
      </x:c>
      <x:c r="S230" s="7" t="n">
        <x:v>85</x:v>
      </x:c>
      <x:c r="T230" s="1" t="str">
        <x:v>Yes</x:v>
      </x:c>
      <x:c r="U230" s="1" t="str">
        <x:v>Completed</x:v>
      </x:c>
    </x:row>
    <x:row r="231">
      <x:c r="A231" s="1" t="str">
        <x:v>PUB-0230</x:v>
      </x:c>
      <x:c r="B231" s="5" t="n">
        <x:v>45891</x:v>
      </x:c>
      <x:c r="C231" s="5" t="n">
        <x:v>45901</x:v>
      </x:c>
      <x:c r="D231" s="5" t="n">
        <x:v>45894</x:v>
      </x:c>
      <x:c r="E231" s="1" t="str">
        <x:v>Editorial</x:v>
      </x:c>
      <x:c r="F231" s="1" t="str">
        <x:v>E-book</x:v>
      </x:c>
      <x:c r="G231" s="1" t="str">
        <x:v>Medium</x:v>
      </x:c>
      <x:c r="H231" s="1" t="str">
        <x:v>AI-Assisted</x:v>
      </x:c>
      <x:c r="I231" s="1" t="str">
        <x:v>Visual Brief</x:v>
      </x:c>
      <x:c r="J231" s="1" t="n">
        <x:v>76</x:v>
      </x:c>
      <x:c r="K231" s="6" t="n">
        <x:v>18.8</x:v>
      </x:c>
      <x:c r="L231" s="6" t="n">
        <x:v>37.5</x:v>
      </x:c>
      <x:c r="M231" s="6" t="n">
        <x:v>18.7</x:v>
      </x:c>
      <x:c r="N231" s="6" t="n">
        <x:v>16372.14</x:v>
      </x:c>
      <x:c r="O231" s="6" t="n">
        <x:v>32635.63</x:v>
      </x:c>
      <x:c r="P231" s="6" t="n">
        <x:v>16263.49</x:v>
      </x:c>
      <x:c r="Q231" s="1" t="n">
        <x:v>0</x:v>
      </x:c>
      <x:c r="R231" s="1" t="str">
        <x:v>Yes</x:v>
      </x:c>
      <x:c r="S231" s="7" t="n">
        <x:v>98.8</x:v>
      </x:c>
      <x:c r="T231" s="1" t="str">
        <x:v>Yes</x:v>
      </x:c>
      <x:c r="U231" s="1" t="str">
        <x:v>Completed</x:v>
      </x:c>
    </x:row>
    <x:row r="232">
      <x:c r="A232" s="1" t="str">
        <x:v>PUB-0231</x:v>
      </x:c>
      <x:c r="B232" s="5" t="n">
        <x:v>46186</x:v>
      </x:c>
      <x:c r="C232" s="5" t="n">
        <x:v>46192</x:v>
      </x:c>
      <x:c r="D232" s="5" t="n">
        <x:v>46188</x:v>
      </x:c>
      <x:c r="E232" s="1" t="str">
        <x:v>Digital Learning</x:v>
      </x:c>
      <x:c r="F232" s="1" t="str">
        <x:v>Illustration</x:v>
      </x:c>
      <x:c r="G232" s="1" t="str">
        <x:v>Medium</x:v>
      </x:c>
      <x:c r="H232" s="1" t="str">
        <x:v>AI-Assisted</x:v>
      </x:c>
      <x:c r="I232" s="1" t="str">
        <x:v>Structured v3</x:v>
      </x:c>
      <x:c r="J232" s="1" t="n">
        <x:v>43</x:v>
      </x:c>
      <x:c r="K232" s="6" t="n">
        <x:v>12.9</x:v>
      </x:c>
      <x:c r="L232" s="6" t="n">
        <x:v>19.3</x:v>
      </x:c>
      <x:c r="M232" s="6" t="n">
        <x:v>6.4</x:v>
      </x:c>
      <x:c r="N232" s="6" t="n">
        <x:v>11766.65</x:v>
      </x:c>
      <x:c r="O232" s="6" t="n">
        <x:v>17600.73</x:v>
      </x:c>
      <x:c r="P232" s="6" t="n">
        <x:v>5834.08</x:v>
      </x:c>
      <x:c r="Q232" s="1" t="n">
        <x:v>0</x:v>
      </x:c>
      <x:c r="R232" s="1" t="str">
        <x:v>Yes</x:v>
      </x:c>
      <x:c r="S232" s="7" t="n">
        <x:v>94.2</x:v>
      </x:c>
      <x:c r="T232" s="1" t="str">
        <x:v>Yes</x:v>
      </x:c>
      <x:c r="U232" s="1" t="str">
        <x:v>Completed</x:v>
      </x:c>
    </x:row>
    <x:row r="233">
      <x:c r="A233" s="1" t="str">
        <x:v>PUB-0232</x:v>
      </x:c>
      <x:c r="B233" s="5" t="n">
        <x:v>46125</x:v>
      </x:c>
      <x:c r="C233" s="5" t="n">
        <x:v>46139</x:v>
      </x:c>
      <x:c r="D233" s="5" t="n">
        <x:v>46129</x:v>
      </x:c>
      <x:c r="E233" s="1" t="str">
        <x:v>Editorial</x:v>
      </x:c>
      <x:c r="F233" s="1" t="str">
        <x:v>Workbook</x:v>
      </x:c>
      <x:c r="G233" s="1" t="str">
        <x:v>Medium</x:v>
      </x:c>
      <x:c r="H233" s="1" t="str">
        <x:v>AI-Assisted</x:v>
      </x:c>
      <x:c r="I233" s="1" t="str">
        <x:v>Few-shot v2</x:v>
      </x:c>
      <x:c r="J233" s="1" t="n">
        <x:v>126</x:v>
      </x:c>
      <x:c r="K233" s="6" t="n">
        <x:v>32.1</x:v>
      </x:c>
      <x:c r="L233" s="6" t="n">
        <x:v>63</x:v>
      </x:c>
      <x:c r="M233" s="6" t="n">
        <x:v>30.9</x:v>
      </x:c>
      <x:c r="N233" s="6" t="n">
        <x:v>21355.54</x:v>
      </x:c>
      <x:c r="O233" s="6" t="n">
        <x:v>41895.15</x:v>
      </x:c>
      <x:c r="P233" s="6" t="n">
        <x:v>20539.61</x:v>
      </x:c>
      <x:c r="Q233" s="1" t="n">
        <x:v>0</x:v>
      </x:c>
      <x:c r="R233" s="1" t="str">
        <x:v>Yes</x:v>
      </x:c>
      <x:c r="S233" s="7" t="n">
        <x:v>99</x:v>
      </x:c>
      <x:c r="T233" s="1" t="str">
        <x:v>Yes</x:v>
      </x:c>
      <x:c r="U233" s="1" t="str">
        <x:v>Completed</x:v>
      </x:c>
    </x:row>
    <x:row r="234">
      <x:c r="A234" s="1" t="str">
        <x:v>PUB-0233</x:v>
      </x:c>
      <x:c r="B234" s="5" t="n">
        <x:v>46143</x:v>
      </x:c>
      <x:c r="C234" s="5" t="n">
        <x:v>46159</x:v>
      </x:c>
      <x:c r="D234" s="5" t="n">
        <x:v>46149</x:v>
      </x:c>
      <x:c r="E234" s="1" t="str">
        <x:v>Production</x:v>
      </x:c>
      <x:c r="F234" s="1" t="str">
        <x:v>Workbook</x:v>
      </x:c>
      <x:c r="G234" s="1" t="str">
        <x:v>High</x:v>
      </x:c>
      <x:c r="H234" s="1" t="str">
        <x:v>AI-Assisted</x:v>
      </x:c>
      <x:c r="I234" s="1" t="str">
        <x:v>Visual Brief</x:v>
      </x:c>
      <x:c r="J234" s="1" t="n">
        <x:v>199</x:v>
      </x:c>
      <x:c r="K234" s="6" t="n">
        <x:v>48.6</x:v>
      </x:c>
      <x:c r="L234" s="6" t="n">
        <x:v>99.8</x:v>
      </x:c>
      <x:c r="M234" s="6" t="n">
        <x:v>51.2</x:v>
      </x:c>
      <x:c r="N234" s="6" t="n">
        <x:v>32796.52</x:v>
      </x:c>
      <x:c r="O234" s="6" t="n">
        <x:v>67339.84</x:v>
      </x:c>
      <x:c r="P234" s="6" t="n">
        <x:v>34543.32</x:v>
      </x:c>
      <x:c r="Q234" s="1" t="n">
        <x:v>0</x:v>
      </x:c>
      <x:c r="R234" s="1" t="str">
        <x:v>Yes</x:v>
      </x:c>
      <x:c r="S234" s="7" t="n">
        <x:v>89.7</x:v>
      </x:c>
      <x:c r="T234" s="1" t="str">
        <x:v>Yes</x:v>
      </x:c>
      <x:c r="U234" s="1" t="str">
        <x:v>Completed</x:v>
      </x:c>
    </x:row>
    <x:row r="235">
      <x:c r="A235" s="1" t="str">
        <x:v>PUB-0234</x:v>
      </x:c>
      <x:c r="B235" s="5" t="n">
        <x:v>45869</x:v>
      </x:c>
      <x:c r="C235" s="5" t="n">
        <x:v>45885</x:v>
      </x:c>
      <x:c r="D235" s="5" t="n">
        <x:v>45875</x:v>
      </x:c>
      <x:c r="E235" s="1" t="str">
        <x:v>Editorial</x:v>
      </x:c>
      <x:c r="F235" s="1" t="str">
        <x:v>Workbook</x:v>
      </x:c>
      <x:c r="G235" s="1" t="str">
        <x:v>Medium</x:v>
      </x:c>
      <x:c r="H235" s="1" t="str">
        <x:v>AI-Assisted</x:v>
      </x:c>
      <x:c r="I235" s="1" t="str">
        <x:v>Editorial QA</x:v>
      </x:c>
      <x:c r="J235" s="1" t="n">
        <x:v>204</x:v>
      </x:c>
      <x:c r="K235" s="6" t="n">
        <x:v>48.5</x:v>
      </x:c>
      <x:c r="L235" s="6" t="n">
        <x:v>94.7</x:v>
      </x:c>
      <x:c r="M235" s="6" t="n">
        <x:v>46.2</x:v>
      </x:c>
      <x:c r="N235" s="6" t="n">
        <x:v>35725.12</x:v>
      </x:c>
      <x:c r="O235" s="6" t="n">
        <x:v>69768.93</x:v>
      </x:c>
      <x:c r="P235" s="6" t="n">
        <x:v>34043.81</x:v>
      </x:c>
      <x:c r="Q235" s="1" t="n">
        <x:v>0</x:v>
      </x:c>
      <x:c r="R235" s="1" t="str">
        <x:v>Yes</x:v>
      </x:c>
      <x:c r="S235" s="7" t="n">
        <x:v>85.2</x:v>
      </x:c>
      <x:c r="T235" s="1" t="str">
        <x:v>Yes</x:v>
      </x:c>
      <x:c r="U235" s="1" t="str">
        <x:v>Completed</x:v>
      </x:c>
    </x:row>
    <x:row r="236">
      <x:c r="A236" s="1" t="str">
        <x:v>PUB-0235</x:v>
      </x:c>
      <x:c r="B236" s="5" t="n">
        <x:v>45970</x:v>
      </x:c>
      <x:c r="C236" s="5" t="n">
        <x:v>45980</x:v>
      </x:c>
      <x:c r="D236" s="5" t="n">
        <x:v>45971</x:v>
      </x:c>
      <x:c r="E236" s="1" t="str">
        <x:v>Production</x:v>
      </x:c>
      <x:c r="F236" s="1" t="str">
        <x:v>Illustration</x:v>
      </x:c>
      <x:c r="G236" s="1" t="str">
        <x:v>Medium</x:v>
      </x:c>
      <x:c r="H236" s="1" t="str">
        <x:v>AI-Assisted</x:v>
      </x:c>
      <x:c r="I236" s="1" t="str">
        <x:v>Visual Brief</x:v>
      </x:c>
      <x:c r="J236" s="1" t="n">
        <x:v>48</x:v>
      </x:c>
      <x:c r="K236" s="6" t="n">
        <x:v>10.8</x:v>
      </x:c>
      <x:c r="L236" s="6" t="n">
        <x:v>19.6</x:v>
      </x:c>
      <x:c r="M236" s="6" t="n">
        <x:v>8.8</x:v>
      </x:c>
      <x:c r="N236" s="6" t="n">
        <x:v>9831.44</x:v>
      </x:c>
      <x:c r="O236" s="6" t="n">
        <x:v>17827.95</x:v>
      </x:c>
      <x:c r="P236" s="6" t="n">
        <x:v>7996.51</x:v>
      </x:c>
      <x:c r="Q236" s="1" t="n">
        <x:v>0</x:v>
      </x:c>
      <x:c r="R236" s="1" t="str">
        <x:v>Yes</x:v>
      </x:c>
      <x:c r="S236" s="7" t="n">
        <x:v>88.4</x:v>
      </x:c>
      <x:c r="T236" s="1" t="str">
        <x:v>Yes</x:v>
      </x:c>
      <x:c r="U236" s="1" t="str">
        <x:v>Completed</x:v>
      </x:c>
    </x:row>
    <x:row r="237">
      <x:c r="A237" s="1" t="str">
        <x:v>PUB-0236</x:v>
      </x:c>
      <x:c r="B237" s="5" t="n">
        <x:v>45947</x:v>
      </x:c>
      <x:c r="C237" s="5" t="n">
        <x:v>45960</x:v>
      </x:c>
      <x:c r="D237" s="5" t="n">
        <x:v>45953</x:v>
      </x:c>
      <x:c r="E237" s="1" t="str">
        <x:v>Editorial</x:v>
      </x:c>
      <x:c r="F237" s="1" t="str">
        <x:v>School Textbook</x:v>
      </x:c>
      <x:c r="G237" s="1" t="str">
        <x:v>Medium</x:v>
      </x:c>
      <x:c r="H237" s="1" t="str">
        <x:v>AI-Assisted</x:v>
      </x:c>
      <x:c r="I237" s="1" t="str">
        <x:v>Visual Brief</x:v>
      </x:c>
      <x:c r="J237" s="1" t="n">
        <x:v>171</x:v>
      </x:c>
      <x:c r="K237" s="6" t="n">
        <x:v>45.9</x:v>
      </x:c>
      <x:c r="L237" s="6" t="n">
        <x:v>72</x:v>
      </x:c>
      <x:c r="M237" s="6" t="n">
        <x:v>26.1</x:v>
      </x:c>
      <x:c r="N237" s="6" t="n">
        <x:v>51687.71</x:v>
      </x:c>
      <x:c r="O237" s="6" t="n">
        <x:v>81052.2</x:v>
      </x:c>
      <x:c r="P237" s="6" t="n">
        <x:v>29364.49</x:v>
      </x:c>
      <x:c r="Q237" s="1" t="n">
        <x:v>0</x:v>
      </x:c>
      <x:c r="R237" s="1" t="str">
        <x:v>Yes</x:v>
      </x:c>
      <x:c r="S237" s="7" t="n">
        <x:v>88.7</x:v>
      </x:c>
      <x:c r="T237" s="1" t="str">
        <x:v>Yes</x:v>
      </x:c>
      <x:c r="U237" s="1" t="str">
        <x:v>Completed</x:v>
      </x:c>
    </x:row>
    <x:row r="238">
      <x:c r="A238" s="1" t="str">
        <x:v>PUB-0237</x:v>
      </x:c>
      <x:c r="B238" s="5" t="n">
        <x:v>45904</x:v>
      </x:c>
      <x:c r="C238" s="5" t="n">
        <x:v>45913</x:v>
      </x:c>
      <x:c r="D238" s="5" t="n">
        <x:v>45908</x:v>
      </x:c>
      <x:c r="E238" s="1" t="str">
        <x:v>Digital Learning</x:v>
      </x:c>
      <x:c r="F238" s="1" t="str">
        <x:v>Illustration</x:v>
      </x:c>
      <x:c r="G238" s="1" t="str">
        <x:v>Medium</x:v>
      </x:c>
      <x:c r="H238" s="1" t="str">
        <x:v>Manual</x:v>
      </x:c>
      <x:c r="I238" s="1" t="str">
        <x:v>Manual / NA</x:v>
      </x:c>
      <x:c r="J238" s="1" t="n">
        <x:v>55</x:v>
      </x:c>
      <x:c r="K238" s="6" t="n">
        <x:v>28.7</x:v>
      </x:c>
      <x:c r="L238" s="6" t="n">
        <x:v>28</x:v>
      </x:c>
      <x:c r="M238" s="6" t="n">
        <x:v>0</x:v>
      </x:c>
      <x:c r="N238" s="6" t="n">
        <x:v>28060</x:v>
      </x:c>
      <x:c r="O238" s="6" t="n">
        <x:v>27411.92</x:v>
      </x:c>
      <x:c r="P238" s="6" t="n">
        <x:v>0</x:v>
      </x:c>
      <x:c r="Q238" s="1" t="n">
        <x:v>0</x:v>
      </x:c>
      <x:c r="R238" s="1" t="str">
        <x:v>Yes</x:v>
      </x:c>
      <x:c r="S238" s="7" t="n">
        <x:v>84.7</x:v>
      </x:c>
      <x:c r="T238" s="1" t="str">
        <x:v>Yes</x:v>
      </x:c>
      <x:c r="U238" s="1" t="str">
        <x:v>Completed</x:v>
      </x:c>
    </x:row>
    <x:row r="239">
      <x:c r="A239" s="1" t="str">
        <x:v>PUB-0238</x:v>
      </x:c>
      <x:c r="B239" s="5" t="n">
        <x:v>45852</x:v>
      </x:c>
      <x:c r="C239" s="5" t="n">
        <x:v>45864</x:v>
      </x:c>
      <x:c r="D239" s="5" t="n">
        <x:v>45855</x:v>
      </x:c>
      <x:c r="E239" s="1" t="str">
        <x:v>Design</x:v>
      </x:c>
      <x:c r="F239" s="1" t="str">
        <x:v>Illustration</x:v>
      </x:c>
      <x:c r="G239" s="1" t="str">
        <x:v>High</x:v>
      </x:c>
      <x:c r="H239" s="1" t="str">
        <x:v>AI-Assisted</x:v>
      </x:c>
      <x:c r="I239" s="1" t="str">
        <x:v>Editorial QA</x:v>
      </x:c>
      <x:c r="J239" s="1" t="n">
        <x:v>64</x:v>
      </x:c>
      <x:c r="K239" s="6" t="n">
        <x:v>25.8</x:v>
      </x:c>
      <x:c r="L239" s="6" t="n">
        <x:v>42.9</x:v>
      </x:c>
      <x:c r="M239" s="6" t="n">
        <x:v>17.1</x:v>
      </x:c>
      <x:c r="N239" s="6" t="n">
        <x:v>27675.91</x:v>
      </x:c>
      <x:c r="O239" s="6" t="n">
        <x:v>46019.11</x:v>
      </x:c>
      <x:c r="P239" s="6" t="n">
        <x:v>18343.2</x:v>
      </x:c>
      <x:c r="Q239" s="1" t="n">
        <x:v>0</x:v>
      </x:c>
      <x:c r="R239" s="1" t="str">
        <x:v>Yes</x:v>
      </x:c>
      <x:c r="S239" s="7" t="n">
        <x:v>94.7</x:v>
      </x:c>
      <x:c r="T239" s="1" t="str">
        <x:v>Yes</x:v>
      </x:c>
      <x:c r="U239" s="1" t="str">
        <x:v>Completed</x:v>
      </x:c>
    </x:row>
    <x:row r="240">
      <x:c r="A240" s="1" t="str">
        <x:v>PUB-0239</x:v>
      </x:c>
      <x:c r="B240" s="5" t="n">
        <x:v>46140</x:v>
      </x:c>
      <x:c r="C240" s="5" t="n">
        <x:v>46164</x:v>
      </x:c>
      <x:c r="D240" s="5" t="n">
        <x:v>46164</x:v>
      </x:c>
      <x:c r="E240" s="1" t="str">
        <x:v>Editorial</x:v>
      </x:c>
      <x:c r="F240" s="1" t="str">
        <x:v>Workbook</x:v>
      </x:c>
      <x:c r="G240" s="1" t="str">
        <x:v>High</x:v>
      </x:c>
      <x:c r="H240" s="1" t="str">
        <x:v>Manual</x:v>
      </x:c>
      <x:c r="I240" s="1" t="str">
        <x:v>Manual / NA</x:v>
      </x:c>
      <x:c r="J240" s="1" t="n">
        <x:v>203</x:v>
      </x:c>
      <x:c r="K240" s="6" t="n">
        <x:v>161.4</x:v>
      </x:c>
      <x:c r="L240" s="6" t="n">
        <x:v>152.3</x:v>
      </x:c>
      <x:c r="M240" s="6" t="n">
        <x:v>0</x:v>
      </x:c>
      <x:c r="N240" s="6" t="n">
        <x:v>157722.88</x:v>
      </x:c>
      <x:c r="O240" s="6" t="n">
        <x:v>148818.34</x:v>
      </x:c>
      <x:c r="P240" s="6" t="n">
        <x:v>0</x:v>
      </x:c>
      <x:c r="Q240" s="1" t="n">
        <x:v>1</x:v>
      </x:c>
      <x:c r="R240" s="1" t="str">
        <x:v>No</x:v>
      </x:c>
      <x:c r="S240" s="7" t="n">
        <x:v>87.4</x:v>
      </x:c>
      <x:c r="T240" s="1" t="str">
        <x:v>Yes</x:v>
      </x:c>
      <x:c r="U240" s="1" t="str">
        <x:v>Completed</x:v>
      </x:c>
    </x:row>
    <x:row r="241">
      <x:c r="A241" s="1" t="str">
        <x:v>PUB-0240</x:v>
      </x:c>
      <x:c r="B241" s="5" t="n">
        <x:v>45959</x:v>
      </x:c>
      <x:c r="C241" s="5" t="n">
        <x:v>45974</x:v>
      </x:c>
      <x:c r="D241" s="5" t="n">
        <x:v>45966</x:v>
      </x:c>
      <x:c r="E241" s="1" t="str">
        <x:v>Design</x:v>
      </x:c>
      <x:c r="F241" s="1" t="str">
        <x:v>School Textbook</x:v>
      </x:c>
      <x:c r="G241" s="1" t="str">
        <x:v>High</x:v>
      </x:c>
      <x:c r="H241" s="1" t="str">
        <x:v>AI-Assisted</x:v>
      </x:c>
      <x:c r="I241" s="1" t="str">
        <x:v>Editorial QA</x:v>
      </x:c>
      <x:c r="J241" s="1" t="n">
        <x:v>156</x:v>
      </x:c>
      <x:c r="K241" s="6" t="n">
        <x:v>53.6</x:v>
      </x:c>
      <x:c r="L241" s="6" t="n">
        <x:v>77.4</x:v>
      </x:c>
      <x:c r="M241" s="6" t="n">
        <x:v>23.8</x:v>
      </x:c>
      <x:c r="N241" s="6" t="n">
        <x:v>48252.79</x:v>
      </x:c>
      <x:c r="O241" s="6" t="n">
        <x:v>69640.16</x:v>
      </x:c>
      <x:c r="P241" s="6" t="n">
        <x:v>21387.37</x:v>
      </x:c>
      <x:c r="Q241" s="1" t="n">
        <x:v>0</x:v>
      </x:c>
      <x:c r="R241" s="1" t="str">
        <x:v>Yes</x:v>
      </x:c>
      <x:c r="S241" s="7" t="n">
        <x:v>84.8</x:v>
      </x:c>
      <x:c r="T241" s="1" t="str">
        <x:v>Yes</x:v>
      </x:c>
      <x:c r="U241" s="1" t="str">
        <x:v>Completed</x:v>
      </x:c>
    </x:row>
    <x:row r="242">
      <x:c r="A242" s="1" t="str">
        <x:v>PUB-0241</x:v>
      </x:c>
      <x:c r="B242" s="5" t="n">
        <x:v>45713</x:v>
      </x:c>
      <x:c r="C242" s="5" t="n">
        <x:v>45724</x:v>
      </x:c>
      <x:c r="D242" s="5" t="n">
        <x:v>45720</x:v>
      </x:c>
      <x:c r="E242" s="1" t="str">
        <x:v>Digital Learning</x:v>
      </x:c>
      <x:c r="F242" s="1" t="str">
        <x:v>School Textbook</x:v>
      </x:c>
      <x:c r="G242" s="1" t="str">
        <x:v>Medium</x:v>
      </x:c>
      <x:c r="H242" s="1" t="str">
        <x:v>Manual</x:v>
      </x:c>
      <x:c r="I242" s="1" t="str">
        <x:v>Manual / NA</x:v>
      </x:c>
      <x:c r="J242" s="1" t="n">
        <x:v>95</x:v>
      </x:c>
      <x:c r="K242" s="6" t="n">
        <x:v>48.9</x:v>
      </x:c>
      <x:c r="L242" s="6" t="n">
        <x:v>46.1</x:v>
      </x:c>
      <x:c r="M242" s="6" t="n">
        <x:v>0</x:v>
      </x:c>
      <x:c r="N242" s="6" t="n">
        <x:v>42972.62</x:v>
      </x:c>
      <x:c r="O242" s="6" t="n">
        <x:v>40512.49</x:v>
      </x:c>
      <x:c r="P242" s="6" t="n">
        <x:v>0</x:v>
      </x:c>
      <x:c r="Q242" s="1" t="n">
        <x:v>0</x:v>
      </x:c>
      <x:c r="R242" s="1" t="str">
        <x:v>Yes</x:v>
      </x:c>
      <x:c r="S242" s="7" t="n">
        <x:v>83</x:v>
      </x:c>
      <x:c r="T242" s="1" t="str">
        <x:v>Yes</x:v>
      </x:c>
      <x:c r="U242" s="1" t="str">
        <x:v>Completed</x:v>
      </x:c>
    </x:row>
    <x:row r="243">
      <x:c r="A243" s="1" t="str">
        <x:v>PUB-0242</x:v>
      </x:c>
      <x:c r="B243" s="5" t="n">
        <x:v>45839</x:v>
      </x:c>
      <x:c r="C243" s="5" t="n">
        <x:v>45858</x:v>
      </x:c>
      <x:c r="D243" s="5" t="n">
        <x:v>45850</x:v>
      </x:c>
      <x:c r="E243" s="1" t="str">
        <x:v>Editorial</x:v>
      </x:c>
      <x:c r="F243" s="1" t="str">
        <x:v>School Textbook</x:v>
      </x:c>
      <x:c r="G243" s="1" t="str">
        <x:v>Low</x:v>
      </x:c>
      <x:c r="H243" s="1" t="str">
        <x:v>AI-Assisted</x:v>
      </x:c>
      <x:c r="I243" s="1" t="str">
        <x:v>Structured v3</x:v>
      </x:c>
      <x:c r="J243" s="1" t="n">
        <x:v>206</x:v>
      </x:c>
      <x:c r="K243" s="6" t="n">
        <x:v>53.3</x:v>
      </x:c>
      <x:c r="L243" s="6" t="n">
        <x:v>89.2</x:v>
      </x:c>
      <x:c r="M243" s="6" t="n">
        <x:v>35.9</x:v>
      </x:c>
      <x:c r="N243" s="6" t="n">
        <x:v>54994.12</x:v>
      </x:c>
      <x:c r="O243" s="6" t="n">
        <x:v>92057.11</x:v>
      </x:c>
      <x:c r="P243" s="6" t="n">
        <x:v>37062.99</x:v>
      </x:c>
      <x:c r="Q243" s="1" t="n">
        <x:v>2</x:v>
      </x:c>
      <x:c r="R243" s="1" t="str">
        <x:v>No</x:v>
      </x:c>
      <x:c r="S243" s="7" t="n">
        <x:v>76.5</x:v>
      </x:c>
      <x:c r="T243" s="1" t="str">
        <x:v>Yes</x:v>
      </x:c>
      <x:c r="U243" s="1" t="str">
        <x:v>Completed</x:v>
      </x:c>
    </x:row>
    <x:row r="244">
      <x:c r="A244" s="1" t="str">
        <x:v>PUB-0243</x:v>
      </x:c>
      <x:c r="B244" s="5" t="n">
        <x:v>46146</x:v>
      </x:c>
      <x:c r="C244" s="5" t="n">
        <x:v>46152</x:v>
      </x:c>
      <x:c r="D244" s="5" t="n">
        <x:v>46149</x:v>
      </x:c>
      <x:c r="E244" s="1" t="str">
        <x:v>Design</x:v>
      </x:c>
      <x:c r="F244" s="1" t="str">
        <x:v>School Textbook</x:v>
      </x:c>
      <x:c r="G244" s="1" t="str">
        <x:v>High</x:v>
      </x:c>
      <x:c r="H244" s="1" t="str">
        <x:v>AI-Assisted</x:v>
      </x:c>
      <x:c r="I244" s="1" t="str">
        <x:v>Few-shot v2</x:v>
      </x:c>
      <x:c r="J244" s="1" t="n">
        <x:v>11</x:v>
      </x:c>
      <x:c r="K244" s="6" t="n">
        <x:v>4.6</x:v>
      </x:c>
      <x:c r="L244" s="6" t="n">
        <x:v>7.6</x:v>
      </x:c>
      <x:c r="M244" s="6" t="n">
        <x:v>3</x:v>
      </x:c>
      <x:c r="N244" s="6" t="n">
        <x:v>3031.21</x:v>
      </x:c>
      <x:c r="O244" s="6" t="n">
        <x:v>5037.65</x:v>
      </x:c>
      <x:c r="P244" s="6" t="n">
        <x:v>2006.44</x:v>
      </x:c>
      <x:c r="Q244" s="1" t="n">
        <x:v>2</x:v>
      </x:c>
      <x:c r="R244" s="1" t="str">
        <x:v>No</x:v>
      </x:c>
      <x:c r="S244" s="7" t="n">
        <x:v>87.5</x:v>
      </x:c>
      <x:c r="T244" s="1" t="str">
        <x:v>Yes</x:v>
      </x:c>
      <x:c r="U244" s="1" t="str">
        <x:v>Completed</x:v>
      </x:c>
    </x:row>
    <x:row r="245">
      <x:c r="A245" s="1" t="str">
        <x:v>PUB-0244</x:v>
      </x:c>
      <x:c r="B245" s="5" t="n">
        <x:v>46173</x:v>
      </x:c>
      <x:c r="C245" s="5" t="n">
        <x:v>46187</x:v>
      </x:c>
      <x:c r="D245" s="5" t="n">
        <x:v>46180</x:v>
      </x:c>
      <x:c r="E245" s="1" t="str">
        <x:v>Production</x:v>
      </x:c>
      <x:c r="F245" s="1" t="str">
        <x:v>School Textbook</x:v>
      </x:c>
      <x:c r="G245" s="1" t="str">
        <x:v>High</x:v>
      </x:c>
      <x:c r="H245" s="1" t="str">
        <x:v>Manual</x:v>
      </x:c>
      <x:c r="I245" s="1" t="str">
        <x:v>Manual / NA</x:v>
      </x:c>
      <x:c r="J245" s="1" t="n">
        <x:v>84</x:v>
      </x:c>
      <x:c r="K245" s="6" t="n">
        <x:v>50.2</x:v>
      </x:c>
      <x:c r="L245" s="6" t="n">
        <x:v>51</x:v>
      </x:c>
      <x:c r="M245" s="6" t="n">
        <x:v>0.8</x:v>
      </x:c>
      <x:c r="N245" s="6" t="n">
        <x:v>45785.35</x:v>
      </x:c>
      <x:c r="O245" s="6" t="n">
        <x:v>46550.1</x:v>
      </x:c>
      <x:c r="P245" s="6" t="n">
        <x:v>764.75</x:v>
      </x:c>
      <x:c r="Q245" s="1" t="n">
        <x:v>0</x:v>
      </x:c>
      <x:c r="R245" s="1" t="str">
        <x:v>Yes</x:v>
      </x:c>
      <x:c r="S245" s="7" t="n">
        <x:v>96.1</x:v>
      </x:c>
      <x:c r="T245" s="1" t="str">
        <x:v>Yes</x:v>
      </x:c>
      <x:c r="U245" s="1" t="str">
        <x:v>Completed</x:v>
      </x:c>
    </x:row>
    <x:row r="246">
      <x:c r="A246" s="1" t="str">
        <x:v>PUB-0245</x:v>
      </x:c>
      <x:c r="B246" s="5" t="n">
        <x:v>46159</x:v>
      </x:c>
      <x:c r="C246" s="5" t="n">
        <x:v>46175</x:v>
      </x:c>
      <x:c r="D246" s="5" t="n">
        <x:v>46171</x:v>
      </x:c>
      <x:c r="E246" s="1" t="str">
        <x:v>Design</x:v>
      </x:c>
      <x:c r="F246" s="1" t="str">
        <x:v>School Textbook</x:v>
      </x:c>
      <x:c r="G246" s="1" t="str">
        <x:v>Medium</x:v>
      </x:c>
      <x:c r="H246" s="1" t="str">
        <x:v>Manual</x:v>
      </x:c>
      <x:c r="I246" s="1" t="str">
        <x:v>Manual / NA</x:v>
      </x:c>
      <x:c r="J246" s="1" t="n">
        <x:v>215</x:v>
      </x:c>
      <x:c r="K246" s="6" t="n">
        <x:v>90.4</x:v>
      </x:c>
      <x:c r="L246" s="6" t="n">
        <x:v>88.2</x:v>
      </x:c>
      <x:c r="M246" s="6" t="n">
        <x:v>0</x:v>
      </x:c>
      <x:c r="N246" s="6" t="n">
        <x:v>64690.5</x:v>
      </x:c>
      <x:c r="O246" s="6" t="n">
        <x:v>63119.17</x:v>
      </x:c>
      <x:c r="P246" s="6" t="n">
        <x:v>0</x:v>
      </x:c>
      <x:c r="Q246" s="1" t="n">
        <x:v>0</x:v>
      </x:c>
      <x:c r="R246" s="1" t="str">
        <x:v>Yes</x:v>
      </x:c>
      <x:c r="S246" s="7" t="n">
        <x:v>82.2</x:v>
      </x:c>
      <x:c r="T246" s="1" t="str">
        <x:v>Yes</x:v>
      </x:c>
      <x:c r="U246" s="1" t="str">
        <x:v>Completed</x:v>
      </x:c>
    </x:row>
    <x:row r="247">
      <x:c r="A247" s="1" t="str">
        <x:v>PUB-0246</x:v>
      </x:c>
      <x:c r="B247" s="5" t="n">
        <x:v>45696</x:v>
      </x:c>
      <x:c r="C247" s="5" t="n">
        <x:v>45703</x:v>
      </x:c>
      <x:c r="D247" s="5" t="n">
        <x:v>45698</x:v>
      </x:c>
      <x:c r="E247" s="1" t="str">
        <x:v>Design</x:v>
      </x:c>
      <x:c r="F247" s="1" t="str">
        <x:v>Assessment</x:v>
      </x:c>
      <x:c r="G247" s="1" t="str">
        <x:v>Medium</x:v>
      </x:c>
      <x:c r="H247" s="1" t="str">
        <x:v>Manual</x:v>
      </x:c>
      <x:c r="I247" s="1" t="str">
        <x:v>Manual / NA</x:v>
      </x:c>
      <x:c r="J247" s="1" t="n">
        <x:v>10</x:v>
      </x:c>
      <x:c r="K247" s="6" t="n">
        <x:v>3.3</x:v>
      </x:c>
      <x:c r="L247" s="6" t="n">
        <x:v>3.7</x:v>
      </x:c>
      <x:c r="M247" s="6" t="n">
        <x:v>0.4</x:v>
      </x:c>
      <x:c r="N247" s="6" t="n">
        <x:v>3524.6</x:v>
      </x:c>
      <x:c r="O247" s="6" t="n">
        <x:v>3957.71</x:v>
      </x:c>
      <x:c r="P247" s="6" t="n">
        <x:v>433.11</x:v>
      </x:c>
      <x:c r="Q247" s="1" t="n">
        <x:v>1</x:v>
      </x:c>
      <x:c r="R247" s="1" t="str">
        <x:v>No</x:v>
      </x:c>
      <x:c r="S247" s="7" t="n">
        <x:v>81.6</x:v>
      </x:c>
      <x:c r="T247" s="1" t="str">
        <x:v>Yes</x:v>
      </x:c>
      <x:c r="U247" s="1" t="str">
        <x:v>Completed</x:v>
      </x:c>
    </x:row>
    <x:row r="248">
      <x:c r="A248" s="1" t="str">
        <x:v>PUB-0247</x:v>
      </x:c>
      <x:c r="B248" s="5" t="n">
        <x:v>45916</x:v>
      </x:c>
      <x:c r="C248" s="5" t="n">
        <x:v>45926</x:v>
      </x:c>
      <x:c r="D248" s="5" t="n">
        <x:v>45919</x:v>
      </x:c>
      <x:c r="E248" s="1" t="str">
        <x:v>Design</x:v>
      </x:c>
      <x:c r="F248" s="1" t="str">
        <x:v>School Textbook</x:v>
      </x:c>
      <x:c r="G248" s="1" t="str">
        <x:v>Medium</x:v>
      </x:c>
      <x:c r="H248" s="1" t="str">
        <x:v>AI-Assisted</x:v>
      </x:c>
      <x:c r="I248" s="1" t="str">
        <x:v>Editorial QA</x:v>
      </x:c>
      <x:c r="J248" s="1" t="n">
        <x:v>85</x:v>
      </x:c>
      <x:c r="K248" s="6" t="n">
        <x:v>19.7</x:v>
      </x:c>
      <x:c r="L248" s="6" t="n">
        <x:v>32.5</x:v>
      </x:c>
      <x:c r="M248" s="6" t="n">
        <x:v>12.8</x:v>
      </x:c>
      <x:c r="N248" s="6" t="n">
        <x:v>18939.56</x:v>
      </x:c>
      <x:c r="O248" s="6" t="n">
        <x:v>31234.24</x:v>
      </x:c>
      <x:c r="P248" s="6" t="n">
        <x:v>12294.68</x:v>
      </x:c>
      <x:c r="Q248" s="1" t="n">
        <x:v>0</x:v>
      </x:c>
      <x:c r="R248" s="1" t="str">
        <x:v>Yes</x:v>
      </x:c>
      <x:c r="S248" s="7" t="n">
        <x:v>78.7</x:v>
      </x:c>
      <x:c r="T248" s="1" t="str">
        <x:v>Yes</x:v>
      </x:c>
      <x:c r="U248" s="1" t="str">
        <x:v>Completed</x:v>
      </x:c>
    </x:row>
    <x:row r="249">
      <x:c r="A249" s="1" t="str">
        <x:v>PUB-0248</x:v>
      </x:c>
      <x:c r="B249" s="5" t="n">
        <x:v>45947</x:v>
      </x:c>
      <x:c r="C249" s="5" t="n">
        <x:v>45958</x:v>
      </x:c>
      <x:c r="D249" s="5" t="str"/>
      <x:c r="E249" s="1" t="str">
        <x:v>Editorial</x:v>
      </x:c>
      <x:c r="F249" s="1" t="str">
        <x:v>School Textbook</x:v>
      </x:c>
      <x:c r="G249" s="1" t="str">
        <x:v>High</x:v>
      </x:c>
      <x:c r="H249" s="1" t="str">
        <x:v>AI-Assisted</x:v>
      </x:c>
      <x:c r="I249" s="1" t="str">
        <x:v>Structured v3</x:v>
      </x:c>
      <x:c r="J249" s="1" t="n">
        <x:v>75</x:v>
      </x:c>
      <x:c r="K249" s="6" t="n">
        <x:v>32.2</x:v>
      </x:c>
      <x:c r="L249" s="6" t="n">
        <x:v>56.8</x:v>
      </x:c>
      <x:c r="M249" s="6" t="n">
        <x:v>24.6</x:v>
      </x:c>
      <x:c r="N249" s="6" t="n">
        <x:v>27527.08</x:v>
      </x:c>
      <x:c r="O249" s="6" t="n">
        <x:v>48586.61</x:v>
      </x:c>
      <x:c r="P249" s="6" t="n">
        <x:v>21059.53</x:v>
      </x:c>
      <x:c r="Q249" s="1" t="n">
        <x:v>1</x:v>
      </x:c>
      <x:c r="R249" s="1" t="str"/>
      <x:c r="S249" s="7" t="n">
        <x:v>93.1</x:v>
      </x:c>
      <x:c r="T249" s="1" t="str"/>
      <x:c r="U249" s="1" t="str">
        <x:v>In Review</x:v>
      </x:c>
    </x:row>
    <x:row r="250">
      <x:c r="A250" s="1" t="str">
        <x:v>PUB-0249</x:v>
      </x:c>
      <x:c r="B250" s="5" t="n">
        <x:v>45996</x:v>
      </x:c>
      <x:c r="C250" s="5" t="n">
        <x:v>46007</x:v>
      </x:c>
      <x:c r="D250" s="5" t="str"/>
      <x:c r="E250" s="1" t="str">
        <x:v>Editorial</x:v>
      </x:c>
      <x:c r="F250" s="1" t="str">
        <x:v>School Textbook</x:v>
      </x:c>
      <x:c r="G250" s="1" t="str">
        <x:v>Medium</x:v>
      </x:c>
      <x:c r="H250" s="1" t="str">
        <x:v>AI-Assisted</x:v>
      </x:c>
      <x:c r="I250" s="1" t="str">
        <x:v>Structured v3</x:v>
      </x:c>
      <x:c r="J250" s="1" t="n">
        <x:v>154</x:v>
      </x:c>
      <x:c r="K250" s="6" t="n">
        <x:v>30.3</x:v>
      </x:c>
      <x:c r="L250" s="6" t="n">
        <x:v>60.5</x:v>
      </x:c>
      <x:c r="M250" s="6" t="n">
        <x:v>30.2</x:v>
      </x:c>
      <x:c r="N250" s="6" t="n">
        <x:v>27447.34</x:v>
      </x:c>
      <x:c r="O250" s="6" t="n">
        <x:v>54797.76</x:v>
      </x:c>
      <x:c r="P250" s="6" t="n">
        <x:v>27350.42</x:v>
      </x:c>
      <x:c r="Q250" s="1" t="n">
        <x:v>0</x:v>
      </x:c>
      <x:c r="R250" s="1" t="str"/>
      <x:c r="S250" s="7" t="n">
        <x:v>92.4</x:v>
      </x:c>
      <x:c r="T250" s="1" t="str"/>
      <x:c r="U250" s="1" t="str">
        <x:v>In Progress</x:v>
      </x:c>
    </x:row>
    <x:row r="251">
      <x:c r="A251" s="1" t="str">
        <x:v>PUB-0250</x:v>
      </x:c>
      <x:c r="B251" s="5" t="n">
        <x:v>45961</x:v>
      </x:c>
      <x:c r="C251" s="5" t="n">
        <x:v>45965</x:v>
      </x:c>
      <x:c r="D251" s="5" t="n">
        <x:v>45964</x:v>
      </x:c>
      <x:c r="E251" s="1" t="str">
        <x:v>Editorial</x:v>
      </x:c>
      <x:c r="F251" s="1" t="str">
        <x:v>School Textbook</x:v>
      </x:c>
      <x:c r="G251" s="1" t="str">
        <x:v>High</x:v>
      </x:c>
      <x:c r="H251" s="1" t="str">
        <x:v>Manual</x:v>
      </x:c>
      <x:c r="I251" s="1" t="str">
        <x:v>Manual / NA</x:v>
      </x:c>
      <x:c r="J251" s="1" t="n">
        <x:v>18</x:v>
      </x:c>
      <x:c r="K251" s="6" t="n">
        <x:v>10.6</x:v>
      </x:c>
      <x:c r="L251" s="6" t="n">
        <x:v>10.4</x:v>
      </x:c>
      <x:c r="M251" s="6" t="n">
        <x:v>0</x:v>
      </x:c>
      <x:c r="N251" s="6" t="n">
        <x:v>9147.77</x:v>
      </x:c>
      <x:c r="O251" s="6" t="n">
        <x:v>9006.69</x:v>
      </x:c>
      <x:c r="P251" s="6" t="n">
        <x:v>0</x:v>
      </x:c>
      <x:c r="Q251" s="1" t="n">
        <x:v>2</x:v>
      </x:c>
      <x:c r="R251" s="1" t="str">
        <x:v>No</x:v>
      </x:c>
      <x:c r="S251" s="7" t="n">
        <x:v>84.3</x:v>
      </x:c>
      <x:c r="T251" s="1" t="str">
        <x:v>Yes</x:v>
      </x:c>
      <x:c r="U251" s="1" t="str">
        <x:v>Completed</x:v>
      </x:c>
    </x:row>
    <x:row r="252">
      <x:c r="A252" s="1" t="str">
        <x:v>PUB-0251</x:v>
      </x:c>
      <x:c r="B252" s="5" t="n">
        <x:v>45832</x:v>
      </x:c>
      <x:c r="C252" s="5" t="n">
        <x:v>45842</x:v>
      </x:c>
      <x:c r="D252" s="5" t="n">
        <x:v>45837</x:v>
      </x:c>
      <x:c r="E252" s="1" t="str">
        <x:v>Editorial</x:v>
      </x:c>
      <x:c r="F252" s="1" t="str">
        <x:v>E-book</x:v>
      </x:c>
      <x:c r="G252" s="1" t="str">
        <x:v>High</x:v>
      </x:c>
      <x:c r="H252" s="1" t="str">
        <x:v>Manual</x:v>
      </x:c>
      <x:c r="I252" s="1" t="str">
        <x:v>Manual / NA</x:v>
      </x:c>
      <x:c r="J252" s="1" t="n">
        <x:v>76</x:v>
      </x:c>
      <x:c r="K252" s="6" t="n">
        <x:v>39.8</x:v>
      </x:c>
      <x:c r="L252" s="6" t="n">
        <x:v>38.2</x:v>
      </x:c>
      <x:c r="M252" s="6" t="n">
        <x:v>0</x:v>
      </x:c>
      <x:c r="N252" s="6" t="n">
        <x:v>29509.1</x:v>
      </x:c>
      <x:c r="O252" s="6" t="n">
        <x:v>28298.1</x:v>
      </x:c>
      <x:c r="P252" s="6" t="n">
        <x:v>0</x:v>
      </x:c>
      <x:c r="Q252" s="1" t="n">
        <x:v>0</x:v>
      </x:c>
      <x:c r="R252" s="1" t="str">
        <x:v>Yes</x:v>
      </x:c>
      <x:c r="S252" s="7" t="n">
        <x:v>89.3</x:v>
      </x:c>
      <x:c r="T252" s="1" t="str">
        <x:v>Yes</x:v>
      </x:c>
      <x:c r="U252" s="1" t="str">
        <x:v>Completed</x:v>
      </x:c>
    </x:row>
    <x:row r="253">
      <x:c r="A253" s="1" t="str">
        <x:v>PUB-0252</x:v>
      </x:c>
      <x:c r="B253" s="5" t="n">
        <x:v>46089</x:v>
      </x:c>
      <x:c r="C253" s="5" t="n">
        <x:v>46097</x:v>
      </x:c>
      <x:c r="D253" s="5" t="n">
        <x:v>46090</x:v>
      </x:c>
      <x:c r="E253" s="1" t="str">
        <x:v>Production</x:v>
      </x:c>
      <x:c r="F253" s="1" t="str">
        <x:v>Illustration</x:v>
      </x:c>
      <x:c r="G253" s="1" t="str">
        <x:v>High</x:v>
      </x:c>
      <x:c r="H253" s="1" t="str">
        <x:v>AI-Assisted</x:v>
      </x:c>
      <x:c r="I253" s="1" t="str">
        <x:v>Editorial QA</x:v>
      </x:c>
      <x:c r="J253" s="1" t="n">
        <x:v>11</x:v>
      </x:c>
      <x:c r="K253" s="6" t="n">
        <x:v>4</x:v>
      </x:c>
      <x:c r="L253" s="6" t="n">
        <x:v>7.9</x:v>
      </x:c>
      <x:c r="M253" s="6" t="n">
        <x:v>3.9</x:v>
      </x:c>
      <x:c r="N253" s="6" t="n">
        <x:v>4422.45</x:v>
      </x:c>
      <x:c r="O253" s="6" t="n">
        <x:v>8761.31</x:v>
      </x:c>
      <x:c r="P253" s="6" t="n">
        <x:v>4338.86</x:v>
      </x:c>
      <x:c r="Q253" s="1" t="n">
        <x:v>0</x:v>
      </x:c>
      <x:c r="R253" s="1" t="str">
        <x:v>Yes</x:v>
      </x:c>
      <x:c r="S253" s="7" t="n">
        <x:v>88</x:v>
      </x:c>
      <x:c r="T253" s="1" t="str">
        <x:v>Yes</x:v>
      </x:c>
      <x:c r="U253" s="1" t="str">
        <x:v>Completed</x:v>
      </x:c>
    </x:row>
    <x:row r="254">
      <x:c r="A254" s="1" t="str">
        <x:v>PUB-0253</x:v>
      </x:c>
      <x:c r="B254" s="5" t="n">
        <x:v>46046</x:v>
      </x:c>
      <x:c r="C254" s="5" t="n">
        <x:v>46054</x:v>
      </x:c>
      <x:c r="D254" s="5" t="n">
        <x:v>46053</x:v>
      </x:c>
      <x:c r="E254" s="1" t="str">
        <x:v>Production</x:v>
      </x:c>
      <x:c r="F254" s="1" t="str">
        <x:v>Assessment</x:v>
      </x:c>
      <x:c r="G254" s="1" t="str">
        <x:v>Medium</x:v>
      </x:c>
      <x:c r="H254" s="1" t="str">
        <x:v>Manual</x:v>
      </x:c>
      <x:c r="I254" s="1" t="str">
        <x:v>Manual / NA</x:v>
      </x:c>
      <x:c r="J254" s="1" t="n">
        <x:v>20</x:v>
      </x:c>
      <x:c r="K254" s="6" t="n">
        <x:v>9.9</x:v>
      </x:c>
      <x:c r="L254" s="6" t="n">
        <x:v>9.3</x:v>
      </x:c>
      <x:c r="M254" s="6" t="n">
        <x:v>0</x:v>
      </x:c>
      <x:c r="N254" s="6" t="n">
        <x:v>8616.41</x:v>
      </x:c>
      <x:c r="O254" s="6" t="n">
        <x:v>8135.75</x:v>
      </x:c>
      <x:c r="P254" s="6" t="n">
        <x:v>0</x:v>
      </x:c>
      <x:c r="Q254" s="1" t="n">
        <x:v>2</x:v>
      </x:c>
      <x:c r="R254" s="1" t="str">
        <x:v>No</x:v>
      </x:c>
      <x:c r="S254" s="7" t="n">
        <x:v>92.8</x:v>
      </x:c>
      <x:c r="T254" s="1" t="str">
        <x:v>Yes</x:v>
      </x:c>
      <x:c r="U254" s="1" t="str">
        <x:v>Completed</x:v>
      </x:c>
    </x:row>
    <x:row r="255">
      <x:c r="A255" s="1" t="str">
        <x:v>PUB-0254</x:v>
      </x:c>
      <x:c r="B255" s="5" t="n">
        <x:v>45887</x:v>
      </x:c>
      <x:c r="C255" s="5" t="n">
        <x:v>45892</x:v>
      </x:c>
      <x:c r="D255" s="5" t="str"/>
      <x:c r="E255" s="1" t="str">
        <x:v>Digital Learning</x:v>
      </x:c>
      <x:c r="F255" s="1" t="str">
        <x:v>Illustration</x:v>
      </x:c>
      <x:c r="G255" s="1" t="str">
        <x:v>Medium</x:v>
      </x:c>
      <x:c r="H255" s="1" t="str">
        <x:v>AI-Assisted</x:v>
      </x:c>
      <x:c r="I255" s="1" t="str">
        <x:v>Few-shot v2</x:v>
      </x:c>
      <x:c r="J255" s="1" t="n">
        <x:v>16</x:v>
      </x:c>
      <x:c r="K255" s="6" t="n">
        <x:v>5</x:v>
      </x:c>
      <x:c r="L255" s="6" t="n">
        <x:v>8.3</x:v>
      </x:c>
      <x:c r="M255" s="6" t="n">
        <x:v>3.3</x:v>
      </x:c>
      <x:c r="N255" s="6" t="n">
        <x:v>4909.28</x:v>
      </x:c>
      <x:c r="O255" s="6" t="n">
        <x:v>8166.89</x:v>
      </x:c>
      <x:c r="P255" s="6" t="n">
        <x:v>3257.61</x:v>
      </x:c>
      <x:c r="Q255" s="1" t="n">
        <x:v>0</x:v>
      </x:c>
      <x:c r="R255" s="1" t="str"/>
      <x:c r="S255" s="7" t="n">
        <x:v>89.9</x:v>
      </x:c>
      <x:c r="T255" s="1" t="str"/>
      <x:c r="U255" s="1" t="str">
        <x:v>In Review</x:v>
      </x:c>
    </x:row>
    <x:row r="256">
      <x:c r="A256" s="1" t="str">
        <x:v>PUB-0255</x:v>
      </x:c>
      <x:c r="B256" s="5" t="n">
        <x:v>45713</x:v>
      </x:c>
      <x:c r="C256" s="5" t="n">
        <x:v>45729</x:v>
      </x:c>
      <x:c r="D256" s="5" t="n">
        <x:v>45718</x:v>
      </x:c>
      <x:c r="E256" s="1" t="str">
        <x:v>Editorial</x:v>
      </x:c>
      <x:c r="F256" s="1" t="str">
        <x:v>E-book</x:v>
      </x:c>
      <x:c r="G256" s="1" t="str">
        <x:v>High</x:v>
      </x:c>
      <x:c r="H256" s="1" t="str">
        <x:v>AI-Assisted</x:v>
      </x:c>
      <x:c r="I256" s="1" t="str">
        <x:v>Few-shot v2</x:v>
      </x:c>
      <x:c r="J256" s="1" t="n">
        <x:v>134</x:v>
      </x:c>
      <x:c r="K256" s="6" t="n">
        <x:v>39.8</x:v>
      </x:c>
      <x:c r="L256" s="6" t="n">
        <x:v>66.6</x:v>
      </x:c>
      <x:c r="M256" s="6" t="n">
        <x:v>26.8</x:v>
      </x:c>
      <x:c r="N256" s="6" t="n">
        <x:v>30663.75</x:v>
      </x:c>
      <x:c r="O256" s="6" t="n">
        <x:v>51304.05</x:v>
      </x:c>
      <x:c r="P256" s="6" t="n">
        <x:v>20640.3</x:v>
      </x:c>
      <x:c r="Q256" s="1" t="n">
        <x:v>0</x:v>
      </x:c>
      <x:c r="R256" s="1" t="str">
        <x:v>Yes</x:v>
      </x:c>
      <x:c r="S256" s="7" t="n">
        <x:v>92.7</x:v>
      </x:c>
      <x:c r="T256" s="1" t="str">
        <x:v>Yes</x:v>
      </x:c>
      <x:c r="U256" s="1" t="str">
        <x:v>Completed</x:v>
      </x:c>
    </x:row>
    <x:row r="257">
      <x:c r="A257" s="1" t="str">
        <x:v>PUB-0256</x:v>
      </x:c>
      <x:c r="B257" s="5" t="n">
        <x:v>45898</x:v>
      </x:c>
      <x:c r="C257" s="5" t="n">
        <x:v>45911</x:v>
      </x:c>
      <x:c r="D257" s="5" t="n">
        <x:v>45905</x:v>
      </x:c>
      <x:c r="E257" s="1" t="str">
        <x:v>Editorial</x:v>
      </x:c>
      <x:c r="F257" s="1" t="str">
        <x:v>Workbook</x:v>
      </x:c>
      <x:c r="G257" s="1" t="str">
        <x:v>Medium</x:v>
      </x:c>
      <x:c r="H257" s="1" t="str">
        <x:v>AI-Assisted</x:v>
      </x:c>
      <x:c r="I257" s="1" t="str">
        <x:v>Structured v3</x:v>
      </x:c>
      <x:c r="J257" s="1" t="n">
        <x:v>135</x:v>
      </x:c>
      <x:c r="K257" s="6" t="n">
        <x:v>31.2</x:v>
      </x:c>
      <x:c r="L257" s="6" t="n">
        <x:v>52.1</x:v>
      </x:c>
      <x:c r="M257" s="6" t="n">
        <x:v>20.9</x:v>
      </x:c>
      <x:c r="N257" s="6" t="n">
        <x:v>30472.62</x:v>
      </x:c>
      <x:c r="O257" s="6" t="n">
        <x:v>50910.36</x:v>
      </x:c>
      <x:c r="P257" s="6" t="n">
        <x:v>20437.74</x:v>
      </x:c>
      <x:c r="Q257" s="1" t="n">
        <x:v>1</x:v>
      </x:c>
      <x:c r="R257" s="1" t="str">
        <x:v>No</x:v>
      </x:c>
      <x:c r="S257" s="7" t="n">
        <x:v>88.6</x:v>
      </x:c>
      <x:c r="T257" s="1" t="str">
        <x:v>Yes</x:v>
      </x:c>
      <x:c r="U257" s="1" t="str">
        <x:v>Completed</x:v>
      </x:c>
    </x:row>
    <x:row r="258">
      <x:c r="A258" s="1" t="str">
        <x:v>PUB-0257</x:v>
      </x:c>
      <x:c r="B258" s="5" t="n">
        <x:v>45751</x:v>
      </x:c>
      <x:c r="C258" s="5" t="n">
        <x:v>45765</x:v>
      </x:c>
      <x:c r="D258" s="5" t="n">
        <x:v>45760</x:v>
      </x:c>
      <x:c r="E258" s="1" t="str">
        <x:v>Digital Learning</x:v>
      </x:c>
      <x:c r="F258" s="1" t="str">
        <x:v>E-book</x:v>
      </x:c>
      <x:c r="G258" s="1" t="str">
        <x:v>Low</x:v>
      </x:c>
      <x:c r="H258" s="1" t="str">
        <x:v>AI-Assisted</x:v>
      </x:c>
      <x:c r="I258" s="1" t="str">
        <x:v>Visual Brief</x:v>
      </x:c>
      <x:c r="J258" s="1" t="n">
        <x:v>151</x:v>
      </x:c>
      <x:c r="K258" s="6" t="n">
        <x:v>44.5</x:v>
      </x:c>
      <x:c r="L258" s="6" t="n">
        <x:v>62.9</x:v>
      </x:c>
      <x:c r="M258" s="6" t="n">
        <x:v>18.4</x:v>
      </x:c>
      <x:c r="N258" s="6" t="n">
        <x:v>37009.37</x:v>
      </x:c>
      <x:c r="O258" s="6" t="n">
        <x:v>52284.2</x:v>
      </x:c>
      <x:c r="P258" s="6" t="n">
        <x:v>15274.83</x:v>
      </x:c>
      <x:c r="Q258" s="1" t="n">
        <x:v>1</x:v>
      </x:c>
      <x:c r="R258" s="1" t="str">
        <x:v>No</x:v>
      </x:c>
      <x:c r="S258" s="7" t="n">
        <x:v>80.6</x:v>
      </x:c>
      <x:c r="T258" s="1" t="str">
        <x:v>Yes</x:v>
      </x:c>
      <x:c r="U258" s="1" t="str">
        <x:v>Completed</x:v>
      </x:c>
    </x:row>
    <x:row r="259">
      <x:c r="A259" s="1" t="str">
        <x:v>PUB-0258</x:v>
      </x:c>
      <x:c r="B259" s="5" t="n">
        <x:v>46030</x:v>
      </x:c>
      <x:c r="C259" s="5" t="n">
        <x:v>46037</x:v>
      </x:c>
      <x:c r="D259" s="5" t="n">
        <x:v>46033</x:v>
      </x:c>
      <x:c r="E259" s="1" t="str">
        <x:v>Production</x:v>
      </x:c>
      <x:c r="F259" s="1" t="str">
        <x:v>School Textbook</x:v>
      </x:c>
      <x:c r="G259" s="1" t="str">
        <x:v>Low</x:v>
      </x:c>
      <x:c r="H259" s="1" t="str">
        <x:v>Manual</x:v>
      </x:c>
      <x:c r="I259" s="1" t="str">
        <x:v>Manual / NA</x:v>
      </x:c>
      <x:c r="J259" s="1" t="n">
        <x:v>64</x:v>
      </x:c>
      <x:c r="K259" s="6" t="n">
        <x:v>23.1</x:v>
      </x:c>
      <x:c r="L259" s="6" t="n">
        <x:v>23</x:v>
      </x:c>
      <x:c r="M259" s="6" t="n">
        <x:v>0</x:v>
      </x:c>
      <x:c r="N259" s="6" t="n">
        <x:v>24253.99</x:v>
      </x:c>
      <x:c r="O259" s="6" t="n">
        <x:v>24141.74</x:v>
      </x:c>
      <x:c r="P259" s="6" t="n">
        <x:v>0</x:v>
      </x:c>
      <x:c r="Q259" s="1" t="n">
        <x:v>0</x:v>
      </x:c>
      <x:c r="R259" s="1" t="str">
        <x:v>Yes</x:v>
      </x:c>
      <x:c r="S259" s="7" t="n">
        <x:v>87</x:v>
      </x:c>
      <x:c r="T259" s="1" t="str">
        <x:v>Yes</x:v>
      </x:c>
      <x:c r="U259" s="1" t="str">
        <x:v>Completed</x:v>
      </x:c>
    </x:row>
    <x:row r="260">
      <x:c r="A260" s="1" t="str">
        <x:v>PUB-0259</x:v>
      </x:c>
      <x:c r="B260" s="5" t="n">
        <x:v>45826</x:v>
      </x:c>
      <x:c r="C260" s="5" t="n">
        <x:v>45836</x:v>
      </x:c>
      <x:c r="D260" s="5" t="n">
        <x:v>45829</x:v>
      </x:c>
      <x:c r="E260" s="1" t="str">
        <x:v>Design</x:v>
      </x:c>
      <x:c r="F260" s="1" t="str">
        <x:v>Illustration</x:v>
      </x:c>
      <x:c r="G260" s="1" t="str">
        <x:v>Low</x:v>
      </x:c>
      <x:c r="H260" s="1" t="str">
        <x:v>Manual</x:v>
      </x:c>
      <x:c r="I260" s="1" t="str">
        <x:v>Manual / NA</x:v>
      </x:c>
      <x:c r="J260" s="1" t="n">
        <x:v>56</x:v>
      </x:c>
      <x:c r="K260" s="6" t="n">
        <x:v>20.8</x:v>
      </x:c>
      <x:c r="L260" s="6" t="n">
        <x:v>22.7</x:v>
      </x:c>
      <x:c r="M260" s="6" t="n">
        <x:v>1.9</x:v>
      </x:c>
      <x:c r="N260" s="6" t="n">
        <x:v>23194.25</x:v>
      </x:c>
      <x:c r="O260" s="6" t="n">
        <x:v>25315.48</x:v>
      </x:c>
      <x:c r="P260" s="6" t="n">
        <x:v>2121.23</x:v>
      </x:c>
      <x:c r="Q260" s="1" t="n">
        <x:v>0</x:v>
      </x:c>
      <x:c r="R260" s="1" t="str">
        <x:v>Yes</x:v>
      </x:c>
      <x:c r="S260" s="7" t="n">
        <x:v>75.8</x:v>
      </x:c>
      <x:c r="T260" s="1" t="str">
        <x:v>Yes</x:v>
      </x:c>
      <x:c r="U260" s="1" t="str">
        <x:v>Completed</x:v>
      </x:c>
    </x:row>
    <x:row r="261">
      <x:c r="A261" s="1" t="str">
        <x:v>PUB-0260</x:v>
      </x:c>
      <x:c r="B261" s="5" t="n">
        <x:v>46082</x:v>
      </x:c>
      <x:c r="C261" s="5" t="n">
        <x:v>46092</x:v>
      </x:c>
      <x:c r="D261" s="5" t="n">
        <x:v>46088</x:v>
      </x:c>
      <x:c r="E261" s="1" t="str">
        <x:v>Editorial</x:v>
      </x:c>
      <x:c r="F261" s="1" t="str">
        <x:v>Assessment</x:v>
      </x:c>
      <x:c r="G261" s="1" t="str">
        <x:v>Medium</x:v>
      </x:c>
      <x:c r="H261" s="1" t="str">
        <x:v>AI-Assisted</x:v>
      </x:c>
      <x:c r="I261" s="1" t="str">
        <x:v>Structured v3</x:v>
      </x:c>
      <x:c r="J261" s="1" t="n">
        <x:v>61</x:v>
      </x:c>
      <x:c r="K261" s="6" t="n">
        <x:v>18</x:v>
      </x:c>
      <x:c r="L261" s="6" t="n">
        <x:v>29.9</x:v>
      </x:c>
      <x:c r="M261" s="6" t="n">
        <x:v>11.9</x:v>
      </x:c>
      <x:c r="N261" s="6" t="n">
        <x:v>20374.69</x:v>
      </x:c>
      <x:c r="O261" s="6" t="n">
        <x:v>33809.11</x:v>
      </x:c>
      <x:c r="P261" s="6" t="n">
        <x:v>13434.42</x:v>
      </x:c>
      <x:c r="Q261" s="1" t="n">
        <x:v>2</x:v>
      </x:c>
      <x:c r="R261" s="1" t="str">
        <x:v>No</x:v>
      </x:c>
      <x:c r="S261" s="7" t="n">
        <x:v>88.4</x:v>
      </x:c>
      <x:c r="T261" s="1" t="str">
        <x:v>Yes</x:v>
      </x:c>
      <x:c r="U261" s="1" t="str">
        <x:v>Completed</x:v>
      </x:c>
    </x:row>
    <x:row r="262">
      <x:c r="A262" s="1" t="str">
        <x:v>PUB-0261</x:v>
      </x:c>
      <x:c r="B262" s="5" t="n">
        <x:v>46152</x:v>
      </x:c>
      <x:c r="C262" s="5" t="n">
        <x:v>46160</x:v>
      </x:c>
      <x:c r="D262" s="5" t="n">
        <x:v>46153</x:v>
      </x:c>
      <x:c r="E262" s="1" t="str">
        <x:v>Digital Learning</x:v>
      </x:c>
      <x:c r="F262" s="1" t="str">
        <x:v>Illustration</x:v>
      </x:c>
      <x:c r="G262" s="1" t="str">
        <x:v>Medium</x:v>
      </x:c>
      <x:c r="H262" s="1" t="str">
        <x:v>Manual</x:v>
      </x:c>
      <x:c r="I262" s="1" t="str">
        <x:v>Manual / NA</x:v>
      </x:c>
      <x:c r="J262" s="1" t="n">
        <x:v>26</x:v>
      </x:c>
      <x:c r="K262" s="6" t="n">
        <x:v>9.7</x:v>
      </x:c>
      <x:c r="L262" s="6" t="n">
        <x:v>10.1</x:v>
      </x:c>
      <x:c r="M262" s="6" t="n">
        <x:v>0.4</x:v>
      </x:c>
      <x:c r="N262" s="6" t="n">
        <x:v>9217.65</x:v>
      </x:c>
      <x:c r="O262" s="6" t="n">
        <x:v>9592.38</x:v>
      </x:c>
      <x:c r="P262" s="6" t="n">
        <x:v>374.73</x:v>
      </x:c>
      <x:c r="Q262" s="1" t="n">
        <x:v>0</x:v>
      </x:c>
      <x:c r="R262" s="1" t="str">
        <x:v>Yes</x:v>
      </x:c>
      <x:c r="S262" s="7" t="n">
        <x:v>79.6</x:v>
      </x:c>
      <x:c r="T262" s="1" t="str">
        <x:v>Yes</x:v>
      </x:c>
      <x:c r="U262" s="1" t="str">
        <x:v>Completed</x:v>
      </x:c>
    </x:row>
    <x:row r="263">
      <x:c r="A263" s="1" t="str">
        <x:v>PUB-0262</x:v>
      </x:c>
      <x:c r="B263" s="5" t="n">
        <x:v>45938</x:v>
      </x:c>
      <x:c r="C263" s="5" t="n">
        <x:v>45949</x:v>
      </x:c>
      <x:c r="D263" s="5" t="n">
        <x:v>45940</x:v>
      </x:c>
      <x:c r="E263" s="1" t="str">
        <x:v>Design</x:v>
      </x:c>
      <x:c r="F263" s="1" t="str">
        <x:v>Workbook</x:v>
      </x:c>
      <x:c r="G263" s="1" t="str">
        <x:v>Medium</x:v>
      </x:c>
      <x:c r="H263" s="1" t="str">
        <x:v>AI-Assisted</x:v>
      </x:c>
      <x:c r="I263" s="1" t="str">
        <x:v>Editorial QA</x:v>
      </x:c>
      <x:c r="J263" s="1" t="n">
        <x:v>43</x:v>
      </x:c>
      <x:c r="K263" s="6" t="n">
        <x:v>14.6</x:v>
      </x:c>
      <x:c r="L263" s="6" t="n">
        <x:v>22.1</x:v>
      </x:c>
      <x:c r="M263" s="6" t="n">
        <x:v>7.5</x:v>
      </x:c>
      <x:c r="N263" s="6" t="n">
        <x:v>11672.07</x:v>
      </x:c>
      <x:c r="O263" s="6" t="n">
        <x:v>17669.7</x:v>
      </x:c>
      <x:c r="P263" s="6" t="n">
        <x:v>5997.63</x:v>
      </x:c>
      <x:c r="Q263" s="1" t="n">
        <x:v>0</x:v>
      </x:c>
      <x:c r="R263" s="1" t="str">
        <x:v>Yes</x:v>
      </x:c>
      <x:c r="S263" s="7" t="n">
        <x:v>88.9</x:v>
      </x:c>
      <x:c r="T263" s="1" t="str">
        <x:v>Yes</x:v>
      </x:c>
      <x:c r="U263" s="1" t="str">
        <x:v>Completed</x:v>
      </x:c>
    </x:row>
    <x:row r="264">
      <x:c r="A264" s="1" t="str">
        <x:v>PUB-0263</x:v>
      </x:c>
      <x:c r="B264" s="5" t="n">
        <x:v>45880</x:v>
      </x:c>
      <x:c r="C264" s="5" t="n">
        <x:v>45886</x:v>
      </x:c>
      <x:c r="D264" s="5" t="n">
        <x:v>45881</x:v>
      </x:c>
      <x:c r="E264" s="1" t="str">
        <x:v>Editorial</x:v>
      </x:c>
      <x:c r="F264" s="1" t="str">
        <x:v>Assessment</x:v>
      </x:c>
      <x:c r="G264" s="1" t="str">
        <x:v>High</x:v>
      </x:c>
      <x:c r="H264" s="1" t="str">
        <x:v>AI-Assisted</x:v>
      </x:c>
      <x:c r="I264" s="1" t="str">
        <x:v>Few-shot v2</x:v>
      </x:c>
      <x:c r="J264" s="1" t="n">
        <x:v>20</x:v>
      </x:c>
      <x:c r="K264" s="6" t="n">
        <x:v>9.4</x:v>
      </x:c>
      <x:c r="L264" s="6" t="n">
        <x:v>13.3</x:v>
      </x:c>
      <x:c r="M264" s="6" t="n">
        <x:v>3.9</x:v>
      </x:c>
      <x:c r="N264" s="6" t="n">
        <x:v>8478.3</x:v>
      </x:c>
      <x:c r="O264" s="6" t="n">
        <x:v>11977.58</x:v>
      </x:c>
      <x:c r="P264" s="6" t="n">
        <x:v>3499.28</x:v>
      </x:c>
      <x:c r="Q264" s="1" t="n">
        <x:v>0</x:v>
      </x:c>
      <x:c r="R264" s="1" t="str">
        <x:v>Yes</x:v>
      </x:c>
      <x:c r="S264" s="7" t="n">
        <x:v>87.8</x:v>
      </x:c>
      <x:c r="T264" s="1" t="str">
        <x:v>Yes</x:v>
      </x:c>
      <x:c r="U264" s="1" t="str">
        <x:v>Completed</x:v>
      </x:c>
    </x:row>
    <x:row r="265">
      <x:c r="A265" s="1" t="str">
        <x:v>PUB-0264</x:v>
      </x:c>
      <x:c r="B265" s="5" t="n">
        <x:v>46085</x:v>
      </x:c>
      <x:c r="C265" s="5" t="n">
        <x:v>46098</x:v>
      </x:c>
      <x:c r="D265" s="5" t="n">
        <x:v>46090</x:v>
      </x:c>
      <x:c r="E265" s="1" t="str">
        <x:v>Production</x:v>
      </x:c>
      <x:c r="F265" s="1" t="str">
        <x:v>E-book</x:v>
      </x:c>
      <x:c r="G265" s="1" t="str">
        <x:v>High</x:v>
      </x:c>
      <x:c r="H265" s="1" t="str">
        <x:v>AI-Assisted</x:v>
      </x:c>
      <x:c r="I265" s="1" t="str">
        <x:v>Visual Brief</x:v>
      </x:c>
      <x:c r="J265" s="1" t="n">
        <x:v>116</x:v>
      </x:c>
      <x:c r="K265" s="6" t="n">
        <x:v>35.4</x:v>
      </x:c>
      <x:c r="L265" s="6" t="n">
        <x:v>72.7</x:v>
      </x:c>
      <x:c r="M265" s="6" t="n">
        <x:v>37.3</x:v>
      </x:c>
      <x:c r="N265" s="6" t="n">
        <x:v>25582.28</x:v>
      </x:c>
      <x:c r="O265" s="6" t="n">
        <x:v>52560.82</x:v>
      </x:c>
      <x:c r="P265" s="6" t="n">
        <x:v>26978.54</x:v>
      </x:c>
      <x:c r="Q265" s="1" t="n">
        <x:v>0</x:v>
      </x:c>
      <x:c r="R265" s="1" t="str">
        <x:v>Yes</x:v>
      </x:c>
      <x:c r="S265" s="7" t="n">
        <x:v>91.4</x:v>
      </x:c>
      <x:c r="T265" s="1" t="str">
        <x:v>Yes</x:v>
      </x:c>
      <x:c r="U265" s="1" t="str">
        <x:v>Completed</x:v>
      </x:c>
    </x:row>
    <x:row r="266">
      <x:c r="A266" s="1" t="str">
        <x:v>PUB-0265</x:v>
      </x:c>
      <x:c r="B266" s="5" t="n">
        <x:v>45822</x:v>
      </x:c>
      <x:c r="C266" s="5" t="n">
        <x:v>45827</x:v>
      </x:c>
      <x:c r="D266" s="5" t="n">
        <x:v>45823</x:v>
      </x:c>
      <x:c r="E266" s="1" t="str">
        <x:v>Digital Learning</x:v>
      </x:c>
      <x:c r="F266" s="1" t="str">
        <x:v>Illustration</x:v>
      </x:c>
      <x:c r="G266" s="1" t="str">
        <x:v>Low</x:v>
      </x:c>
      <x:c r="H266" s="1" t="str">
        <x:v>AI-Assisted</x:v>
      </x:c>
      <x:c r="I266" s="1" t="str">
        <x:v>Structured v3</x:v>
      </x:c>
      <x:c r="J266" s="1" t="n">
        <x:v>41</x:v>
      </x:c>
      <x:c r="K266" s="6" t="n">
        <x:v>9.1</x:v>
      </x:c>
      <x:c r="L266" s="6" t="n">
        <x:v>16.1</x:v>
      </x:c>
      <x:c r="M266" s="6" t="n">
        <x:v>7</x:v>
      </x:c>
      <x:c r="N266" s="6" t="n">
        <x:v>7974.3</x:v>
      </x:c>
      <x:c r="O266" s="6" t="n">
        <x:v>14113.58</x:v>
      </x:c>
      <x:c r="P266" s="6" t="n">
        <x:v>6139.28</x:v>
      </x:c>
      <x:c r="Q266" s="1" t="n">
        <x:v>0</x:v>
      </x:c>
      <x:c r="R266" s="1" t="str">
        <x:v>Yes</x:v>
      </x:c>
      <x:c r="S266" s="7" t="n">
        <x:v>85.8</x:v>
      </x:c>
      <x:c r="T266" s="1" t="str">
        <x:v>Yes</x:v>
      </x:c>
      <x:c r="U266" s="1" t="str">
        <x:v>Completed</x:v>
      </x:c>
    </x:row>
    <x:row r="267">
      <x:c r="A267" s="1" t="str">
        <x:v>PUB-0266</x:v>
      </x:c>
      <x:c r="B267" s="5" t="n">
        <x:v>46056</x:v>
      </x:c>
      <x:c r="C267" s="5" t="n">
        <x:v>46065</x:v>
      </x:c>
      <x:c r="D267" s="5" t="str"/>
      <x:c r="E267" s="1" t="str">
        <x:v>Editorial</x:v>
      </x:c>
      <x:c r="F267" s="1" t="str">
        <x:v>Illustration</x:v>
      </x:c>
      <x:c r="G267" s="1" t="str">
        <x:v>Medium</x:v>
      </x:c>
      <x:c r="H267" s="1" t="str">
        <x:v>Manual</x:v>
      </x:c>
      <x:c r="I267" s="1" t="str">
        <x:v>Manual / NA</x:v>
      </x:c>
      <x:c r="J267" s="1" t="n">
        <x:v>40</x:v>
      </x:c>
      <x:c r="K267" s="6" t="n">
        <x:v>14.2</x:v>
      </x:c>
      <x:c r="L267" s="6" t="n">
        <x:v>14.8</x:v>
      </x:c>
      <x:c r="M267" s="6" t="n">
        <x:v>0.6</x:v>
      </x:c>
      <x:c r="N267" s="6" t="n">
        <x:v>12187.62</x:v>
      </x:c>
      <x:c r="O267" s="6" t="n">
        <x:v>12714.11</x:v>
      </x:c>
      <x:c r="P267" s="6" t="n">
        <x:v>526.49</x:v>
      </x:c>
      <x:c r="Q267" s="1" t="n">
        <x:v>0</x:v>
      </x:c>
      <x:c r="R267" s="1" t="str"/>
      <x:c r="S267" s="7" t="n">
        <x:v>78.7</x:v>
      </x:c>
      <x:c r="T267" s="1" t="str"/>
      <x:c r="U267" s="1" t="str">
        <x:v>In Progress</x:v>
      </x:c>
    </x:row>
    <x:row r="268">
      <x:c r="A268" s="1" t="str">
        <x:v>PUB-0267</x:v>
      </x:c>
      <x:c r="B268" s="5" t="n">
        <x:v>45713</x:v>
      </x:c>
      <x:c r="C268" s="5" t="n">
        <x:v>45733</x:v>
      </x:c>
      <x:c r="D268" s="5" t="str"/>
      <x:c r="E268" s="1" t="str">
        <x:v>Editorial</x:v>
      </x:c>
      <x:c r="F268" s="1" t="str">
        <x:v>Workbook</x:v>
      </x:c>
      <x:c r="G268" s="1" t="str">
        <x:v>High</x:v>
      </x:c>
      <x:c r="H268" s="1" t="str">
        <x:v>AI-Assisted</x:v>
      </x:c>
      <x:c r="I268" s="1" t="str">
        <x:v>Editorial QA</x:v>
      </x:c>
      <x:c r="J268" s="1" t="n">
        <x:v>121</x:v>
      </x:c>
      <x:c r="K268" s="6" t="n">
        <x:v>58.1</x:v>
      </x:c>
      <x:c r="L268" s="6" t="n">
        <x:v>89.5</x:v>
      </x:c>
      <x:c r="M268" s="6" t="n">
        <x:v>31.4</x:v>
      </x:c>
      <x:c r="N268" s="6" t="n">
        <x:v>56578.72</x:v>
      </x:c>
      <x:c r="O268" s="6" t="n">
        <x:v>87183.21</x:v>
      </x:c>
      <x:c r="P268" s="6" t="n">
        <x:v>30604.49</x:v>
      </x:c>
      <x:c r="Q268" s="1" t="n">
        <x:v>0</x:v>
      </x:c>
      <x:c r="R268" s="1" t="str"/>
      <x:c r="S268" s="7" t="n">
        <x:v>81.8</x:v>
      </x:c>
      <x:c r="T268" s="1" t="str"/>
      <x:c r="U268" s="1" t="str">
        <x:v>In Progress</x:v>
      </x:c>
    </x:row>
    <x:row r="269">
      <x:c r="A269" s="1" t="str">
        <x:v>PUB-0268</x:v>
      </x:c>
      <x:c r="B269" s="5" t="n">
        <x:v>45959</x:v>
      </x:c>
      <x:c r="C269" s="5" t="n">
        <x:v>45975</x:v>
      </x:c>
      <x:c r="D269" s="5" t="n">
        <x:v>45967</x:v>
      </x:c>
      <x:c r="E269" s="1" t="str">
        <x:v>Design</x:v>
      </x:c>
      <x:c r="F269" s="1" t="str">
        <x:v>E-book</x:v>
      </x:c>
      <x:c r="G269" s="1" t="str">
        <x:v>Medium</x:v>
      </x:c>
      <x:c r="H269" s="1" t="str">
        <x:v>AI-Assisted</x:v>
      </x:c>
      <x:c r="I269" s="1" t="str">
        <x:v>Visual Brief</x:v>
      </x:c>
      <x:c r="J269" s="1" t="n">
        <x:v>196</x:v>
      </x:c>
      <x:c r="K269" s="6" t="n">
        <x:v>50.6</x:v>
      </x:c>
      <x:c r="L269" s="6" t="n">
        <x:v>86.8</x:v>
      </x:c>
      <x:c r="M269" s="6" t="n">
        <x:v>36.2</x:v>
      </x:c>
      <x:c r="N269" s="6" t="n">
        <x:v>46971.95</x:v>
      </x:c>
      <x:c r="O269" s="6" t="n">
        <x:v>80599.39</x:v>
      </x:c>
      <x:c r="P269" s="6" t="n">
        <x:v>33627.44</x:v>
      </x:c>
      <x:c r="Q269" s="1" t="n">
        <x:v>1</x:v>
      </x:c>
      <x:c r="R269" s="1" t="str">
        <x:v>No</x:v>
      </x:c>
      <x:c r="S269" s="7" t="n">
        <x:v>85.2</x:v>
      </x:c>
      <x:c r="T269" s="1" t="str">
        <x:v>Yes</x:v>
      </x:c>
      <x:c r="U269" s="1" t="str">
        <x:v>Completed</x:v>
      </x:c>
    </x:row>
    <x:row r="270">
      <x:c r="A270" s="1" t="str">
        <x:v>PUB-0269</x:v>
      </x:c>
      <x:c r="B270" s="5" t="n">
        <x:v>45816</x:v>
      </x:c>
      <x:c r="C270" s="5" t="n">
        <x:v>45830</x:v>
      </x:c>
      <x:c r="D270" s="5" t="n">
        <x:v>45823</x:v>
      </x:c>
      <x:c r="E270" s="1" t="str">
        <x:v>Editorial</x:v>
      </x:c>
      <x:c r="F270" s="1" t="str">
        <x:v>E-book</x:v>
      </x:c>
      <x:c r="G270" s="1" t="str">
        <x:v>Medium</x:v>
      </x:c>
      <x:c r="H270" s="1" t="str">
        <x:v>AI-Assisted</x:v>
      </x:c>
      <x:c r="I270" s="1" t="str">
        <x:v>Editorial QA</x:v>
      </x:c>
      <x:c r="J270" s="1" t="n">
        <x:v>168</x:v>
      </x:c>
      <x:c r="K270" s="6" t="n">
        <x:v>50.8</x:v>
      </x:c>
      <x:c r="L270" s="6" t="n">
        <x:v>84.9</x:v>
      </x:c>
      <x:c r="M270" s="6" t="n">
        <x:v>34.1</x:v>
      </x:c>
      <x:c r="N270" s="6" t="n">
        <x:v>47566</x:v>
      </x:c>
      <x:c r="O270" s="6" t="n">
        <x:v>79535.83</x:v>
      </x:c>
      <x:c r="P270" s="6" t="n">
        <x:v>31969.83</x:v>
      </x:c>
      <x:c r="Q270" s="1" t="n">
        <x:v>0</x:v>
      </x:c>
      <x:c r="R270" s="1" t="str">
        <x:v>Yes</x:v>
      </x:c>
      <x:c r="S270" s="7" t="n">
        <x:v>90</x:v>
      </x:c>
      <x:c r="T270" s="1" t="str">
        <x:v>Yes</x:v>
      </x:c>
      <x:c r="U270" s="1" t="str">
        <x:v>Completed</x:v>
      </x:c>
    </x:row>
    <x:row r="271">
      <x:c r="A271" s="1" t="str">
        <x:v>PUB-0270</x:v>
      </x:c>
      <x:c r="B271" s="5" t="n">
        <x:v>46175</x:v>
      </x:c>
      <x:c r="C271" s="5" t="n">
        <x:v>46182</x:v>
      </x:c>
      <x:c r="D271" s="5" t="n">
        <x:v>46176</x:v>
      </x:c>
      <x:c r="E271" s="1" t="str">
        <x:v>Editorial</x:v>
      </x:c>
      <x:c r="F271" s="1" t="str">
        <x:v>Assessment</x:v>
      </x:c>
      <x:c r="G271" s="1" t="str">
        <x:v>Medium</x:v>
      </x:c>
      <x:c r="H271" s="1" t="str">
        <x:v>AI-Assisted</x:v>
      </x:c>
      <x:c r="I271" s="1" t="str">
        <x:v>Few-shot v2</x:v>
      </x:c>
      <x:c r="J271" s="1" t="n">
        <x:v>31</x:v>
      </x:c>
      <x:c r="K271" s="6" t="n">
        <x:v>7.4</x:v>
      </x:c>
      <x:c r="L271" s="6" t="n">
        <x:v>13.4</x:v>
      </x:c>
      <x:c r="M271" s="6" t="n">
        <x:v>6</x:v>
      </x:c>
      <x:c r="N271" s="6" t="n">
        <x:v>8326.14</x:v>
      </x:c>
      <x:c r="O271" s="6" t="n">
        <x:v>15097.18</x:v>
      </x:c>
      <x:c r="P271" s="6" t="n">
        <x:v>6771.04</x:v>
      </x:c>
      <x:c r="Q271" s="1" t="n">
        <x:v>0</x:v>
      </x:c>
      <x:c r="R271" s="1" t="str">
        <x:v>Yes</x:v>
      </x:c>
      <x:c r="S271" s="7" t="n">
        <x:v>84.3</x:v>
      </x:c>
      <x:c r="T271" s="1" t="str">
        <x:v>Yes</x:v>
      </x:c>
      <x:c r="U271" s="1" t="str">
        <x:v>Completed</x:v>
      </x:c>
    </x:row>
    <x:row r="272">
      <x:c r="A272" s="1" t="str">
        <x:v>PUB-0271</x:v>
      </x:c>
      <x:c r="B272" s="5" t="n">
        <x:v>45667</x:v>
      </x:c>
      <x:c r="C272" s="5" t="n">
        <x:v>45681</x:v>
      </x:c>
      <x:c r="D272" s="5" t="n">
        <x:v>45672</x:v>
      </x:c>
      <x:c r="E272" s="1" t="str">
        <x:v>Editorial</x:v>
      </x:c>
      <x:c r="F272" s="1" t="str">
        <x:v>Workbook</x:v>
      </x:c>
      <x:c r="G272" s="1" t="str">
        <x:v>Low</x:v>
      </x:c>
      <x:c r="H272" s="1" t="str">
        <x:v>AI-Assisted</x:v>
      </x:c>
      <x:c r="I272" s="1" t="str">
        <x:v>Editorial QA</x:v>
      </x:c>
      <x:c r="J272" s="1" t="n">
        <x:v>167</x:v>
      </x:c>
      <x:c r="K272" s="6" t="n">
        <x:v>35</x:v>
      </x:c>
      <x:c r="L272" s="6" t="n">
        <x:v>50.5</x:v>
      </x:c>
      <x:c r="M272" s="6" t="n">
        <x:v>15.5</x:v>
      </x:c>
      <x:c r="N272" s="6" t="n">
        <x:v>29424.02</x:v>
      </x:c>
      <x:c r="O272" s="6" t="n">
        <x:v>42454.47</x:v>
      </x:c>
      <x:c r="P272" s="6" t="n">
        <x:v>13030.45</x:v>
      </x:c>
      <x:c r="Q272" s="1" t="n">
        <x:v>0</x:v>
      </x:c>
      <x:c r="R272" s="1" t="str">
        <x:v>Yes</x:v>
      </x:c>
      <x:c r="S272" s="7" t="n">
        <x:v>92.2</x:v>
      </x:c>
      <x:c r="T272" s="1" t="str">
        <x:v>Yes</x:v>
      </x:c>
      <x:c r="U272" s="1" t="str">
        <x:v>Completed</x:v>
      </x:c>
    </x:row>
    <x:row r="273">
      <x:c r="A273" s="1" t="str">
        <x:v>PUB-0272</x:v>
      </x:c>
      <x:c r="B273" s="5" t="n">
        <x:v>46187</x:v>
      </x:c>
      <x:c r="C273" s="5" t="n">
        <x:v>46202</x:v>
      </x:c>
      <x:c r="D273" s="5" t="n">
        <x:v>46197</x:v>
      </x:c>
      <x:c r="E273" s="1" t="str">
        <x:v>Digital Learning</x:v>
      </x:c>
      <x:c r="F273" s="1" t="str">
        <x:v>Workbook</x:v>
      </x:c>
      <x:c r="G273" s="1" t="str">
        <x:v>Medium</x:v>
      </x:c>
      <x:c r="H273" s="1" t="str">
        <x:v>Manual</x:v>
      </x:c>
      <x:c r="I273" s="1" t="str">
        <x:v>Manual / NA</x:v>
      </x:c>
      <x:c r="J273" s="1" t="n">
        <x:v>122</x:v>
      </x:c>
      <x:c r="K273" s="6" t="n">
        <x:v>52.4</x:v>
      </x:c>
      <x:c r="L273" s="6" t="n">
        <x:v>51.9</x:v>
      </x:c>
      <x:c r="M273" s="6" t="n">
        <x:v>0</x:v>
      </x:c>
      <x:c r="N273" s="6" t="n">
        <x:v>42452.19</x:v>
      </x:c>
      <x:c r="O273" s="6" t="n">
        <x:v>42027.91</x:v>
      </x:c>
      <x:c r="P273" s="6" t="n">
        <x:v>0</x:v>
      </x:c>
      <x:c r="Q273" s="1" t="n">
        <x:v>1</x:v>
      </x:c>
      <x:c r="R273" s="1" t="str">
        <x:v>No</x:v>
      </x:c>
      <x:c r="S273" s="7" t="n">
        <x:v>86.2</x:v>
      </x:c>
      <x:c r="T273" s="1" t="str">
        <x:v>Yes</x:v>
      </x:c>
      <x:c r="U273" s="1" t="str">
        <x:v>Completed</x:v>
      </x:c>
    </x:row>
    <x:row r="274">
      <x:c r="A274" s="1" t="str">
        <x:v>PUB-0273</x:v>
      </x:c>
      <x:c r="B274" s="5" t="n">
        <x:v>45725</x:v>
      </x:c>
      <x:c r="C274" s="5" t="n">
        <x:v>45734</x:v>
      </x:c>
      <x:c r="D274" s="5" t="n">
        <x:v>45726</x:v>
      </x:c>
      <x:c r="E274" s="1" t="str">
        <x:v>Editorial</x:v>
      </x:c>
      <x:c r="F274" s="1" t="str">
        <x:v>Assessment</x:v>
      </x:c>
      <x:c r="G274" s="1" t="str">
        <x:v>Low</x:v>
      </x:c>
      <x:c r="H274" s="1" t="str">
        <x:v>AI-Assisted</x:v>
      </x:c>
      <x:c r="I274" s="1" t="str">
        <x:v>Editorial QA</x:v>
      </x:c>
      <x:c r="J274" s="1" t="n">
        <x:v>17</x:v>
      </x:c>
      <x:c r="K274" s="6" t="n">
        <x:v>5.2</x:v>
      </x:c>
      <x:c r="L274" s="6" t="n">
        <x:v>7.6</x:v>
      </x:c>
      <x:c r="M274" s="6" t="n">
        <x:v>2.4</x:v>
      </x:c>
      <x:c r="N274" s="6" t="n">
        <x:v>5307.58</x:v>
      </x:c>
      <x:c r="O274" s="6" t="n">
        <x:v>7716.4</x:v>
      </x:c>
      <x:c r="P274" s="6" t="n">
        <x:v>2408.82</x:v>
      </x:c>
      <x:c r="Q274" s="1" t="n">
        <x:v>0</x:v>
      </x:c>
      <x:c r="R274" s="1" t="str">
        <x:v>Yes</x:v>
      </x:c>
      <x:c r="S274" s="7" t="n">
        <x:v>89.9</x:v>
      </x:c>
      <x:c r="T274" s="1" t="str">
        <x:v>Yes</x:v>
      </x:c>
      <x:c r="U274" s="1" t="str">
        <x:v>Completed</x:v>
      </x:c>
    </x:row>
    <x:row r="275">
      <x:c r="A275" s="1" t="str">
        <x:v>PUB-0274</x:v>
      </x:c>
      <x:c r="B275" s="5" t="n">
        <x:v>45997</x:v>
      </x:c>
      <x:c r="C275" s="5" t="n">
        <x:v>46004</x:v>
      </x:c>
      <x:c r="D275" s="5" t="n">
        <x:v>45998</x:v>
      </x:c>
      <x:c r="E275" s="1" t="str">
        <x:v>Editorial</x:v>
      </x:c>
      <x:c r="F275" s="1" t="str">
        <x:v>School Textbook</x:v>
      </x:c>
      <x:c r="G275" s="1" t="str">
        <x:v>Medium</x:v>
      </x:c>
      <x:c r="H275" s="1" t="str">
        <x:v>AI-Assisted</x:v>
      </x:c>
      <x:c r="I275" s="1" t="str">
        <x:v>Structured v3</x:v>
      </x:c>
      <x:c r="J275" s="1" t="n">
        <x:v>26</x:v>
      </x:c>
      <x:c r="K275" s="6" t="n">
        <x:v>5.8</x:v>
      </x:c>
      <x:c r="L275" s="6" t="n">
        <x:v>10.7</x:v>
      </x:c>
      <x:c r="M275" s="6" t="n">
        <x:v>4.9</x:v>
      </x:c>
      <x:c r="N275" s="6" t="n">
        <x:v>4895.29</x:v>
      </x:c>
      <x:c r="O275" s="6" t="n">
        <x:v>8999.01</x:v>
      </x:c>
      <x:c r="P275" s="6" t="n">
        <x:v>4103.72</x:v>
      </x:c>
      <x:c r="Q275" s="1" t="n">
        <x:v>0</x:v>
      </x:c>
      <x:c r="R275" s="1" t="str">
        <x:v>Yes</x:v>
      </x:c>
      <x:c r="S275" s="7" t="n">
        <x:v>87.1</x:v>
      </x:c>
      <x:c r="T275" s="1" t="str">
        <x:v>Yes</x:v>
      </x:c>
      <x:c r="U275" s="1" t="str">
        <x:v>Completed</x:v>
      </x:c>
    </x:row>
    <x:row r="276">
      <x:c r="A276" s="1" t="str">
        <x:v>PUB-0275</x:v>
      </x:c>
      <x:c r="B276" s="5" t="n">
        <x:v>45779</x:v>
      </x:c>
      <x:c r="C276" s="5" t="n">
        <x:v>45789</x:v>
      </x:c>
      <x:c r="D276" s="5" t="n">
        <x:v>45780</x:v>
      </x:c>
      <x:c r="E276" s="1" t="str">
        <x:v>Design</x:v>
      </x:c>
      <x:c r="F276" s="1" t="str">
        <x:v>Assessment</x:v>
      </x:c>
      <x:c r="G276" s="1" t="str">
        <x:v>Medium</x:v>
      </x:c>
      <x:c r="H276" s="1" t="str">
        <x:v>AI-Assisted</x:v>
      </x:c>
      <x:c r="I276" s="1" t="str">
        <x:v>Editorial QA</x:v>
      </x:c>
      <x:c r="J276" s="1" t="n">
        <x:v>9</x:v>
      </x:c>
      <x:c r="K276" s="6" t="n">
        <x:v>2.4</x:v>
      </x:c>
      <x:c r="L276" s="6" t="n">
        <x:v>3.4</x:v>
      </x:c>
      <x:c r="M276" s="6" t="n">
        <x:v>1</x:v>
      </x:c>
      <x:c r="N276" s="6" t="n">
        <x:v>1687.36</x:v>
      </x:c>
      <x:c r="O276" s="6" t="n">
        <x:v>2378.99</x:v>
      </x:c>
      <x:c r="P276" s="6" t="n">
        <x:v>691.63</x:v>
      </x:c>
      <x:c r="Q276" s="1" t="n">
        <x:v>0</x:v>
      </x:c>
      <x:c r="R276" s="1" t="str">
        <x:v>Yes</x:v>
      </x:c>
      <x:c r="S276" s="7" t="n">
        <x:v>88.3</x:v>
      </x:c>
      <x:c r="T276" s="1" t="str">
        <x:v>Yes</x:v>
      </x:c>
      <x:c r="U276" s="1" t="str">
        <x:v>Completed</x:v>
      </x:c>
    </x:row>
    <x:row r="277">
      <x:c r="A277" s="1" t="str">
        <x:v>PUB-0276</x:v>
      </x:c>
      <x:c r="B277" s="5" t="n">
        <x:v>45689</x:v>
      </x:c>
      <x:c r="C277" s="5" t="n">
        <x:v>45699</x:v>
      </x:c>
      <x:c r="D277" s="5" t="n">
        <x:v>45691</x:v>
      </x:c>
      <x:c r="E277" s="1" t="str">
        <x:v>Design</x:v>
      </x:c>
      <x:c r="F277" s="1" t="str">
        <x:v>Assessment</x:v>
      </x:c>
      <x:c r="G277" s="1" t="str">
        <x:v>High</x:v>
      </x:c>
      <x:c r="H277" s="1" t="str">
        <x:v>AI-Assisted</x:v>
      </x:c>
      <x:c r="I277" s="1" t="str">
        <x:v>Few-shot v2</x:v>
      </x:c>
      <x:c r="J277" s="1" t="n">
        <x:v>41</x:v>
      </x:c>
      <x:c r="K277" s="6" t="n">
        <x:v>13.6</x:v>
      </x:c>
      <x:c r="L277" s="6" t="n">
        <x:v>21.2</x:v>
      </x:c>
      <x:c r="M277" s="6" t="n">
        <x:v>7.6</x:v>
      </x:c>
      <x:c r="N277" s="6" t="n">
        <x:v>15056.35</x:v>
      </x:c>
      <x:c r="O277" s="6" t="n">
        <x:v>23468.66</x:v>
      </x:c>
      <x:c r="P277" s="6" t="n">
        <x:v>8412.31</x:v>
      </x:c>
      <x:c r="Q277" s="1" t="n">
        <x:v>0</x:v>
      </x:c>
      <x:c r="R277" s="1" t="str">
        <x:v>Yes</x:v>
      </x:c>
      <x:c r="S277" s="7" t="n">
        <x:v>91.2</x:v>
      </x:c>
      <x:c r="T277" s="1" t="str">
        <x:v>Yes</x:v>
      </x:c>
      <x:c r="U277" s="1" t="str">
        <x:v>Completed</x:v>
      </x:c>
    </x:row>
    <x:row r="278">
      <x:c r="A278" s="1" t="str">
        <x:v>PUB-0277</x:v>
      </x:c>
      <x:c r="B278" s="5" t="n">
        <x:v>45669</x:v>
      </x:c>
      <x:c r="C278" s="5" t="n">
        <x:v>45680</x:v>
      </x:c>
      <x:c r="D278" s="5" t="n">
        <x:v>45671</x:v>
      </x:c>
      <x:c r="E278" s="1" t="str">
        <x:v>Design</x:v>
      </x:c>
      <x:c r="F278" s="1" t="str">
        <x:v>Assessment</x:v>
      </x:c>
      <x:c r="G278" s="1" t="str">
        <x:v>Medium</x:v>
      </x:c>
      <x:c r="H278" s="1" t="str">
        <x:v>AI-Assisted</x:v>
      </x:c>
      <x:c r="I278" s="1" t="str">
        <x:v>Structured v3</x:v>
      </x:c>
      <x:c r="J278" s="1" t="n">
        <x:v>54</x:v>
      </x:c>
      <x:c r="K278" s="6" t="n">
        <x:v>17</x:v>
      </x:c>
      <x:c r="L278" s="6" t="n">
        <x:v>30.7</x:v>
      </x:c>
      <x:c r="M278" s="6" t="n">
        <x:v>13.7</x:v>
      </x:c>
      <x:c r="N278" s="6" t="n">
        <x:v>17410.52</x:v>
      </x:c>
      <x:c r="O278" s="6" t="n">
        <x:v>31431.23</x:v>
      </x:c>
      <x:c r="P278" s="6" t="n">
        <x:v>14020.71</x:v>
      </x:c>
      <x:c r="Q278" s="1" t="n">
        <x:v>0</x:v>
      </x:c>
      <x:c r="R278" s="1" t="str">
        <x:v>Yes</x:v>
      </x:c>
      <x:c r="S278" s="7" t="n">
        <x:v>85.8</x:v>
      </x:c>
      <x:c r="T278" s="1" t="str">
        <x:v>Yes</x:v>
      </x:c>
      <x:c r="U278" s="1" t="str">
        <x:v>Completed</x:v>
      </x:c>
    </x:row>
    <x:row r="279">
      <x:c r="A279" s="1" t="str">
        <x:v>PUB-0278</x:v>
      </x:c>
      <x:c r="B279" s="5" t="n">
        <x:v>45846</x:v>
      </x:c>
      <x:c r="C279" s="5" t="n">
        <x:v>45852</x:v>
      </x:c>
      <x:c r="D279" s="5" t="n">
        <x:v>45847</x:v>
      </x:c>
      <x:c r="E279" s="1" t="str">
        <x:v>Editorial</x:v>
      </x:c>
      <x:c r="F279" s="1" t="str">
        <x:v>Illustration</x:v>
      </x:c>
      <x:c r="G279" s="1" t="str">
        <x:v>High</x:v>
      </x:c>
      <x:c r="H279" s="1" t="str">
        <x:v>AI-Assisted</x:v>
      </x:c>
      <x:c r="I279" s="1" t="str">
        <x:v>Structured v3</x:v>
      </x:c>
      <x:c r="J279" s="1" t="n">
        <x:v>10</x:v>
      </x:c>
      <x:c r="K279" s="6" t="n">
        <x:v>5.4</x:v>
      </x:c>
      <x:c r="L279" s="6" t="n">
        <x:v>7.5</x:v>
      </x:c>
      <x:c r="M279" s="6" t="n">
        <x:v>2.1</x:v>
      </x:c>
      <x:c r="N279" s="6" t="n">
        <x:v>4755.42</x:v>
      </x:c>
      <x:c r="O279" s="6" t="n">
        <x:v>6569.17</x:v>
      </x:c>
      <x:c r="P279" s="6" t="n">
        <x:v>1813.75</x:v>
      </x:c>
      <x:c r="Q279" s="1" t="n">
        <x:v>0</x:v>
      </x:c>
      <x:c r="R279" s="1" t="str">
        <x:v>Yes</x:v>
      </x:c>
      <x:c r="S279" s="7" t="n">
        <x:v>93.7</x:v>
      </x:c>
      <x:c r="T279" s="1" t="str">
        <x:v>Yes</x:v>
      </x:c>
      <x:c r="U279" s="1" t="str">
        <x:v>Completed</x:v>
      </x:c>
    </x:row>
    <x:row r="280">
      <x:c r="A280" s="1" t="str">
        <x:v>PUB-0279</x:v>
      </x:c>
      <x:c r="B280" s="5" t="n">
        <x:v>45758</x:v>
      </x:c>
      <x:c r="C280" s="5" t="n">
        <x:v>45767</x:v>
      </x:c>
      <x:c r="D280" s="5" t="n">
        <x:v>45760</x:v>
      </x:c>
      <x:c r="E280" s="1" t="str">
        <x:v>Editorial</x:v>
      </x:c>
      <x:c r="F280" s="1" t="str">
        <x:v>Assessment</x:v>
      </x:c>
      <x:c r="G280" s="1" t="str">
        <x:v>Low</x:v>
      </x:c>
      <x:c r="H280" s="1" t="str">
        <x:v>Manual</x:v>
      </x:c>
      <x:c r="I280" s="1" t="str">
        <x:v>Manual / NA</x:v>
      </x:c>
      <x:c r="J280" s="1" t="n">
        <x:v>49</x:v>
      </x:c>
      <x:c r="K280" s="6" t="n">
        <x:v>18.2</x:v>
      </x:c>
      <x:c r="L280" s="6" t="n">
        <x:v>20.3</x:v>
      </x:c>
      <x:c r="M280" s="6" t="n">
        <x:v>2.1</x:v>
      </x:c>
      <x:c r="N280" s="6" t="n">
        <x:v>17467.59</x:v>
      </x:c>
      <x:c r="O280" s="6" t="n">
        <x:v>19443.66</x:v>
      </x:c>
      <x:c r="P280" s="6" t="n">
        <x:v>1976.07</x:v>
      </x:c>
      <x:c r="Q280" s="1" t="n">
        <x:v>0</x:v>
      </x:c>
      <x:c r="R280" s="1" t="str">
        <x:v>Yes</x:v>
      </x:c>
      <x:c r="S280" s="7" t="n">
        <x:v>82.5</x:v>
      </x:c>
      <x:c r="T280" s="1" t="str">
        <x:v>Yes</x:v>
      </x:c>
      <x:c r="U280" s="1" t="str">
        <x:v>Completed</x:v>
      </x:c>
    </x:row>
    <x:row r="281">
      <x:c r="A281" s="1" t="str">
        <x:v>PUB-0280</x:v>
      </x:c>
      <x:c r="B281" s="5" t="n">
        <x:v>45814</x:v>
      </x:c>
      <x:c r="C281" s="5" t="n">
        <x:v>45820</x:v>
      </x:c>
      <x:c r="D281" s="5" t="n">
        <x:v>45815</x:v>
      </x:c>
      <x:c r="E281" s="1" t="str">
        <x:v>Design</x:v>
      </x:c>
      <x:c r="F281" s="1" t="str">
        <x:v>Workbook</x:v>
      </x:c>
      <x:c r="G281" s="1" t="str">
        <x:v>Medium</x:v>
      </x:c>
      <x:c r="H281" s="1" t="str">
        <x:v>AI-Assisted</x:v>
      </x:c>
      <x:c r="I281" s="1" t="str">
        <x:v>Few-shot v2</x:v>
      </x:c>
      <x:c r="J281" s="1" t="n">
        <x:v>9</x:v>
      </x:c>
      <x:c r="K281" s="6" t="n">
        <x:v>3.1</x:v>
      </x:c>
      <x:c r="L281" s="6" t="n">
        <x:v>4.8</x:v>
      </x:c>
      <x:c r="M281" s="6" t="n">
        <x:v>1.7</x:v>
      </x:c>
      <x:c r="N281" s="6" t="n">
        <x:v>3008.3</x:v>
      </x:c>
      <x:c r="O281" s="6" t="n">
        <x:v>4653.75</x:v>
      </x:c>
      <x:c r="P281" s="6" t="n">
        <x:v>1645.45</x:v>
      </x:c>
      <x:c r="Q281" s="1" t="n">
        <x:v>0</x:v>
      </x:c>
      <x:c r="R281" s="1" t="str">
        <x:v>Yes</x:v>
      </x:c>
      <x:c r="S281" s="7" t="n">
        <x:v>94.5</x:v>
      </x:c>
      <x:c r="T281" s="1" t="str">
        <x:v>Yes</x:v>
      </x:c>
      <x:c r="U281" s="1" t="str">
        <x:v>Completed</x:v>
      </x:c>
    </x:row>
    <x:row r="282">
      <x:c r="A282" s="1" t="str">
        <x:v>PUB-0281</x:v>
      </x:c>
      <x:c r="B282" s="5" t="n">
        <x:v>45997</x:v>
      </x:c>
      <x:c r="C282" s="5" t="n">
        <x:v>46012</x:v>
      </x:c>
      <x:c r="D282" s="5" t="n">
        <x:v>46001</x:v>
      </x:c>
      <x:c r="E282" s="1" t="str">
        <x:v>Digital Learning</x:v>
      </x:c>
      <x:c r="F282" s="1" t="str">
        <x:v>Workbook</x:v>
      </x:c>
      <x:c r="G282" s="1" t="str">
        <x:v>Low</x:v>
      </x:c>
      <x:c r="H282" s="1" t="str">
        <x:v>AI-Assisted</x:v>
      </x:c>
      <x:c r="I282" s="1" t="str">
        <x:v>Structured v3</x:v>
      </x:c>
      <x:c r="J282" s="1" t="n">
        <x:v>149</x:v>
      </x:c>
      <x:c r="K282" s="6" t="n">
        <x:v>30.6</x:v>
      </x:c>
      <x:c r="L282" s="6" t="n">
        <x:v>61.3</x:v>
      </x:c>
      <x:c r="M282" s="6" t="n">
        <x:v>30.7</x:v>
      </x:c>
      <x:c r="N282" s="6" t="n">
        <x:v>24183.42</x:v>
      </x:c>
      <x:c r="O282" s="6" t="n">
        <x:v>48475.1</x:v>
      </x:c>
      <x:c r="P282" s="6" t="n">
        <x:v>24291.68</x:v>
      </x:c>
      <x:c r="Q282" s="1" t="n">
        <x:v>0</x:v>
      </x:c>
      <x:c r="R282" s="1" t="str">
        <x:v>Yes</x:v>
      </x:c>
      <x:c r="S282" s="7" t="n">
        <x:v>91.8</x:v>
      </x:c>
      <x:c r="T282" s="1" t="str">
        <x:v>Yes</x:v>
      </x:c>
      <x:c r="U282" s="1" t="str">
        <x:v>Completed</x:v>
      </x:c>
    </x:row>
    <x:row r="283">
      <x:c r="A283" s="1" t="str">
        <x:v>PUB-0282</x:v>
      </x:c>
      <x:c r="B283" s="5" t="n">
        <x:v>45735</x:v>
      </x:c>
      <x:c r="C283" s="5" t="n">
        <x:v>45751</x:v>
      </x:c>
      <x:c r="D283" s="5" t="n">
        <x:v>45742</x:v>
      </x:c>
      <x:c r="E283" s="1" t="str">
        <x:v>Digital Learning</x:v>
      </x:c>
      <x:c r="F283" s="1" t="str">
        <x:v>E-book</x:v>
      </x:c>
      <x:c r="G283" s="1" t="str">
        <x:v>Medium</x:v>
      </x:c>
      <x:c r="H283" s="1" t="str">
        <x:v>AI-Assisted</x:v>
      </x:c>
      <x:c r="I283" s="1" t="str">
        <x:v>Visual Brief</x:v>
      </x:c>
      <x:c r="J283" s="1" t="n">
        <x:v>156</x:v>
      </x:c>
      <x:c r="K283" s="6" t="n">
        <x:v>53.3</x:v>
      </x:c>
      <x:c r="L283" s="6" t="n">
        <x:v>76.4</x:v>
      </x:c>
      <x:c r="M283" s="6" t="n">
        <x:v>23.1</x:v>
      </x:c>
      <x:c r="N283" s="6" t="n">
        <x:v>49344.98</x:v>
      </x:c>
      <x:c r="O283" s="6" t="n">
        <x:v>70740.19</x:v>
      </x:c>
      <x:c r="P283" s="6" t="n">
        <x:v>21395.21</x:v>
      </x:c>
      <x:c r="Q283" s="1" t="n">
        <x:v>0</x:v>
      </x:c>
      <x:c r="R283" s="1" t="str">
        <x:v>Yes</x:v>
      </x:c>
      <x:c r="S283" s="7" t="n">
        <x:v>86.7</x:v>
      </x:c>
      <x:c r="T283" s="1" t="str">
        <x:v>Yes</x:v>
      </x:c>
      <x:c r="U283" s="1" t="str">
        <x:v>Completed</x:v>
      </x:c>
    </x:row>
    <x:row r="284">
      <x:c r="A284" s="1" t="str">
        <x:v>PUB-0283</x:v>
      </x:c>
      <x:c r="B284" s="5" t="n">
        <x:v>45810</x:v>
      </x:c>
      <x:c r="C284" s="5" t="n">
        <x:v>45829</x:v>
      </x:c>
      <x:c r="D284" s="5" t="n">
        <x:v>45826</x:v>
      </x:c>
      <x:c r="E284" s="1" t="str">
        <x:v>Design</x:v>
      </x:c>
      <x:c r="F284" s="1" t="str">
        <x:v>School Textbook</x:v>
      </x:c>
      <x:c r="G284" s="1" t="str">
        <x:v>High</x:v>
      </x:c>
      <x:c r="H284" s="1" t="str">
        <x:v>Manual</x:v>
      </x:c>
      <x:c r="I284" s="1" t="str">
        <x:v>Manual / NA</x:v>
      </x:c>
      <x:c r="J284" s="1" t="n">
        <x:v>195</x:v>
      </x:c>
      <x:c r="K284" s="6" t="n">
        <x:v>98.3</x:v>
      </x:c>
      <x:c r="L284" s="6" t="n">
        <x:v>100.2</x:v>
      </x:c>
      <x:c r="M284" s="6" t="n">
        <x:v>1.9</x:v>
      </x:c>
      <x:c r="N284" s="6" t="n">
        <x:v>68345.73</x:v>
      </x:c>
      <x:c r="O284" s="6" t="n">
        <x:v>69698.34</x:v>
      </x:c>
      <x:c r="P284" s="6" t="n">
        <x:v>1352.61</x:v>
      </x:c>
      <x:c r="Q284" s="1" t="n">
        <x:v>1</x:v>
      </x:c>
      <x:c r="R284" s="1" t="str">
        <x:v>No</x:v>
      </x:c>
      <x:c r="S284" s="7" t="n">
        <x:v>84.4</x:v>
      </x:c>
      <x:c r="T284" s="1" t="str">
        <x:v>Yes</x:v>
      </x:c>
      <x:c r="U284" s="1" t="str">
        <x:v>Completed</x:v>
      </x:c>
    </x:row>
    <x:row r="285">
      <x:c r="A285" s="1" t="str">
        <x:v>PUB-0284</x:v>
      </x:c>
      <x:c r="B285" s="5" t="n">
        <x:v>46184</x:v>
      </x:c>
      <x:c r="C285" s="5" t="n">
        <x:v>46189</x:v>
      </x:c>
      <x:c r="D285" s="5" t="n">
        <x:v>46186</x:v>
      </x:c>
      <x:c r="E285" s="1" t="str">
        <x:v>Editorial</x:v>
      </x:c>
      <x:c r="F285" s="1" t="str">
        <x:v>School Textbook</x:v>
      </x:c>
      <x:c r="G285" s="1" t="str">
        <x:v>Medium</x:v>
      </x:c>
      <x:c r="H285" s="1" t="str">
        <x:v>AI-Assisted</x:v>
      </x:c>
      <x:c r="I285" s="1" t="str">
        <x:v>Few-shot v2</x:v>
      </x:c>
      <x:c r="J285" s="1" t="n">
        <x:v>45</x:v>
      </x:c>
      <x:c r="K285" s="6" t="n">
        <x:v>11.9</x:v>
      </x:c>
      <x:c r="L285" s="6" t="n">
        <x:v>21</x:v>
      </x:c>
      <x:c r="M285" s="6" t="n">
        <x:v>9.1</x:v>
      </x:c>
      <x:c r="N285" s="6" t="n">
        <x:v>9036.97</x:v>
      </x:c>
      <x:c r="O285" s="6" t="n">
        <x:v>15937.49</x:v>
      </x:c>
      <x:c r="P285" s="6" t="n">
        <x:v>6900.52</x:v>
      </x:c>
      <x:c r="Q285" s="1" t="n">
        <x:v>0</x:v>
      </x:c>
      <x:c r="R285" s="1" t="str">
        <x:v>Yes</x:v>
      </x:c>
      <x:c r="S285" s="7" t="n">
        <x:v>99</x:v>
      </x:c>
      <x:c r="T285" s="1" t="str">
        <x:v>Yes</x:v>
      </x:c>
      <x:c r="U285" s="1" t="str">
        <x:v>Completed</x:v>
      </x:c>
    </x:row>
    <x:row r="286">
      <x:c r="A286" s="1" t="str">
        <x:v>PUB-0285</x:v>
      </x:c>
      <x:c r="B286" s="5" t="n">
        <x:v>45701</x:v>
      </x:c>
      <x:c r="C286" s="5" t="n">
        <x:v>45712</x:v>
      </x:c>
      <x:c r="D286" s="5" t="n">
        <x:v>45704</x:v>
      </x:c>
      <x:c r="E286" s="1" t="str">
        <x:v>Production</x:v>
      </x:c>
      <x:c r="F286" s="1" t="str">
        <x:v>Assessment</x:v>
      </x:c>
      <x:c r="G286" s="1" t="str">
        <x:v>Medium</x:v>
      </x:c>
      <x:c r="H286" s="1" t="str">
        <x:v>Manual</x:v>
      </x:c>
      <x:c r="I286" s="1" t="str">
        <x:v>Manual / NA</x:v>
      </x:c>
      <x:c r="J286" s="1" t="n">
        <x:v>53</x:v>
      </x:c>
      <x:c r="K286" s="6" t="n">
        <x:v>21.7</x:v>
      </x:c>
      <x:c r="L286" s="6" t="n">
        <x:v>24.4</x:v>
      </x:c>
      <x:c r="M286" s="6" t="n">
        <x:v>2.7</x:v>
      </x:c>
      <x:c r="N286" s="6" t="n">
        <x:v>24744.4</x:v>
      </x:c>
      <x:c r="O286" s="6" t="n">
        <x:v>27801.69</x:v>
      </x:c>
      <x:c r="P286" s="6" t="n">
        <x:v>3057.29</x:v>
      </x:c>
      <x:c r="Q286" s="1" t="n">
        <x:v>0</x:v>
      </x:c>
      <x:c r="R286" s="1" t="str">
        <x:v>Yes</x:v>
      </x:c>
      <x:c r="S286" s="7" t="n">
        <x:v>83.1</x:v>
      </x:c>
      <x:c r="T286" s="1" t="str">
        <x:v>Yes</x:v>
      </x:c>
      <x:c r="U286" s="1" t="str">
        <x:v>Completed</x:v>
      </x:c>
    </x:row>
    <x:row r="287">
      <x:c r="A287" s="1" t="str">
        <x:v>PUB-0286</x:v>
      </x:c>
      <x:c r="B287" s="5" t="n">
        <x:v>45927</x:v>
      </x:c>
      <x:c r="C287" s="5" t="n">
        <x:v>45937</x:v>
      </x:c>
      <x:c r="D287" s="5" t="n">
        <x:v>45928</x:v>
      </x:c>
      <x:c r="E287" s="1" t="str">
        <x:v>Production</x:v>
      </x:c>
      <x:c r="F287" s="1" t="str">
        <x:v>Assessment</x:v>
      </x:c>
      <x:c r="G287" s="1" t="str">
        <x:v>Medium</x:v>
      </x:c>
      <x:c r="H287" s="1" t="str">
        <x:v>AI-Assisted</x:v>
      </x:c>
      <x:c r="I287" s="1" t="str">
        <x:v>Few-shot v2</x:v>
      </x:c>
      <x:c r="J287" s="1" t="n">
        <x:v>13</x:v>
      </x:c>
      <x:c r="K287" s="6" t="n">
        <x:v>4</x:v>
      </x:c>
      <x:c r="L287" s="6" t="n">
        <x:v>5.8</x:v>
      </x:c>
      <x:c r="M287" s="6" t="n">
        <x:v>1.8</x:v>
      </x:c>
      <x:c r="N287" s="6" t="n">
        <x:v>3632.74</x:v>
      </x:c>
      <x:c r="O287" s="6" t="n">
        <x:v>5227.79</x:v>
      </x:c>
      <x:c r="P287" s="6" t="n">
        <x:v>1595.05</x:v>
      </x:c>
      <x:c r="Q287" s="1" t="n">
        <x:v>0</x:v>
      </x:c>
      <x:c r="R287" s="1" t="str">
        <x:v>Yes</x:v>
      </x:c>
      <x:c r="S287" s="7" t="n">
        <x:v>82.6</x:v>
      </x:c>
      <x:c r="T287" s="1" t="str">
        <x:v>Yes</x:v>
      </x:c>
      <x:c r="U287" s="1" t="str">
        <x:v>Completed</x:v>
      </x:c>
    </x:row>
    <x:row r="288">
      <x:c r="A288" s="1" t="str">
        <x:v>PUB-0287</x:v>
      </x:c>
      <x:c r="B288" s="5" t="n">
        <x:v>46151</x:v>
      </x:c>
      <x:c r="C288" s="5" t="n">
        <x:v>46159</x:v>
      </x:c>
      <x:c r="D288" s="5" t="n">
        <x:v>46158</x:v>
      </x:c>
      <x:c r="E288" s="1" t="str">
        <x:v>Digital Learning</x:v>
      </x:c>
      <x:c r="F288" s="1" t="str">
        <x:v>School Textbook</x:v>
      </x:c>
      <x:c r="G288" s="1" t="str">
        <x:v>Low</x:v>
      </x:c>
      <x:c r="H288" s="1" t="str">
        <x:v>Manual</x:v>
      </x:c>
      <x:c r="I288" s="1" t="str">
        <x:v>Manual / NA</x:v>
      </x:c>
      <x:c r="J288" s="1" t="n">
        <x:v>120</x:v>
      </x:c>
      <x:c r="K288" s="6" t="n">
        <x:v>37.4</x:v>
      </x:c>
      <x:c r="L288" s="6" t="n">
        <x:v>37.1</x:v>
      </x:c>
      <x:c r="M288" s="6" t="n">
        <x:v>0</x:v>
      </x:c>
      <x:c r="N288" s="6" t="n">
        <x:v>28265.37</x:v>
      </x:c>
      <x:c r="O288" s="6" t="n">
        <x:v>28033.21</x:v>
      </x:c>
      <x:c r="P288" s="6" t="n">
        <x:v>0</x:v>
      </x:c>
      <x:c r="Q288" s="1" t="n">
        <x:v>1</x:v>
      </x:c>
      <x:c r="R288" s="1" t="str">
        <x:v>No</x:v>
      </x:c>
      <x:c r="S288" s="7" t="n">
        <x:v>82.8</x:v>
      </x:c>
      <x:c r="T288" s="1" t="str">
        <x:v>Yes</x:v>
      </x:c>
      <x:c r="U288" s="1" t="str">
        <x:v>Completed</x:v>
      </x:c>
    </x:row>
    <x:row r="289">
      <x:c r="A289" s="1" t="str">
        <x:v>PUB-0288</x:v>
      </x:c>
      <x:c r="B289" s="5" t="n">
        <x:v>45774</x:v>
      </x:c>
      <x:c r="C289" s="5" t="n">
        <x:v>45781</x:v>
      </x:c>
      <x:c r="D289" s="5" t="n">
        <x:v>45777</x:v>
      </x:c>
      <x:c r="E289" s="1" t="str">
        <x:v>Design</x:v>
      </x:c>
      <x:c r="F289" s="1" t="str">
        <x:v>Workbook</x:v>
      </x:c>
      <x:c r="G289" s="1" t="str">
        <x:v>Low</x:v>
      </x:c>
      <x:c r="H289" s="1" t="str">
        <x:v>AI-Assisted</x:v>
      </x:c>
      <x:c r="I289" s="1" t="str">
        <x:v>Structured v3</x:v>
      </x:c>
      <x:c r="J289" s="1" t="n">
        <x:v>113</x:v>
      </x:c>
      <x:c r="K289" s="6" t="n">
        <x:v>21.1</x:v>
      </x:c>
      <x:c r="L289" s="6" t="n">
        <x:v>34.2</x:v>
      </x:c>
      <x:c r="M289" s="6" t="n">
        <x:v>13.1</x:v>
      </x:c>
      <x:c r="N289" s="6" t="n">
        <x:v>15414.91</x:v>
      </x:c>
      <x:c r="O289" s="6" t="n">
        <x:v>25012.42</x:v>
      </x:c>
      <x:c r="P289" s="6" t="n">
        <x:v>9597.51</x:v>
      </x:c>
      <x:c r="Q289" s="1" t="n">
        <x:v>0</x:v>
      </x:c>
      <x:c r="R289" s="1" t="str">
        <x:v>Yes</x:v>
      </x:c>
      <x:c r="S289" s="7" t="n">
        <x:v>86.3</x:v>
      </x:c>
      <x:c r="T289" s="1" t="str">
        <x:v>Yes</x:v>
      </x:c>
      <x:c r="U289" s="1" t="str">
        <x:v>Completed</x:v>
      </x:c>
    </x:row>
    <x:row r="290">
      <x:c r="A290" s="1" t="str">
        <x:v>PUB-0289</x:v>
      </x:c>
      <x:c r="B290" s="5" t="n">
        <x:v>45828</x:v>
      </x:c>
      <x:c r="C290" s="5" t="n">
        <x:v>45848</x:v>
      </x:c>
      <x:c r="D290" s="5" t="n">
        <x:v>45843</x:v>
      </x:c>
      <x:c r="E290" s="1" t="str">
        <x:v>Editorial</x:v>
      </x:c>
      <x:c r="F290" s="1" t="str">
        <x:v>School Textbook</x:v>
      </x:c>
      <x:c r="G290" s="1" t="str">
        <x:v>High</x:v>
      </x:c>
      <x:c r="H290" s="1" t="str">
        <x:v>Manual</x:v>
      </x:c>
      <x:c r="I290" s="1" t="str">
        <x:v>Manual / NA</x:v>
      </x:c>
      <x:c r="J290" s="1" t="n">
        <x:v>161</x:v>
      </x:c>
      <x:c r="K290" s="6" t="n">
        <x:v>112.2</x:v>
      </x:c>
      <x:c r="L290" s="6" t="n">
        <x:v>106.3</x:v>
      </x:c>
      <x:c r="M290" s="6" t="n">
        <x:v>0</x:v>
      </x:c>
      <x:c r="N290" s="6" t="n">
        <x:v>113769.36</x:v>
      </x:c>
      <x:c r="O290" s="6" t="n">
        <x:v>107805.97</x:v>
      </x:c>
      <x:c r="P290" s="6" t="n">
        <x:v>0</x:v>
      </x:c>
      <x:c r="Q290" s="1" t="n">
        <x:v>0</x:v>
      </x:c>
      <x:c r="R290" s="1" t="str">
        <x:v>Yes</x:v>
      </x:c>
      <x:c r="S290" s="7" t="n">
        <x:v>88.6</x:v>
      </x:c>
      <x:c r="T290" s="1" t="str">
        <x:v>Yes</x:v>
      </x:c>
      <x:c r="U290" s="1" t="str">
        <x:v>Completed</x:v>
      </x:c>
    </x:row>
    <x:row r="291">
      <x:c r="A291" s="1" t="str">
        <x:v>PUB-0290</x:v>
      </x:c>
      <x:c r="B291" s="5" t="n">
        <x:v>45832</x:v>
      </x:c>
      <x:c r="C291" s="5" t="n">
        <x:v>45848</x:v>
      </x:c>
      <x:c r="D291" s="5" t="n">
        <x:v>45838</x:v>
      </x:c>
      <x:c r="E291" s="1" t="str">
        <x:v>Editorial</x:v>
      </x:c>
      <x:c r="F291" s="1" t="str">
        <x:v>Workbook</x:v>
      </x:c>
      <x:c r="G291" s="1" t="str">
        <x:v>Low</x:v>
      </x:c>
      <x:c r="H291" s="1" t="str">
        <x:v>AI-Assisted</x:v>
      </x:c>
      <x:c r="I291" s="1" t="str">
        <x:v>Editorial QA</x:v>
      </x:c>
      <x:c r="J291" s="1" t="n">
        <x:v>204</x:v>
      </x:c>
      <x:c r="K291" s="6" t="n">
        <x:v>45.9</x:v>
      </x:c>
      <x:c r="L291" s="6" t="n">
        <x:v>84.5</x:v>
      </x:c>
      <x:c r="M291" s="6" t="n">
        <x:v>38.6</x:v>
      </x:c>
      <x:c r="N291" s="6" t="n">
        <x:v>46455.09</x:v>
      </x:c>
      <x:c r="O291" s="6" t="n">
        <x:v>85518.78</x:v>
      </x:c>
      <x:c r="P291" s="6" t="n">
        <x:v>39063.69</x:v>
      </x:c>
      <x:c r="Q291" s="1" t="n">
        <x:v>0</x:v>
      </x:c>
      <x:c r="R291" s="1" t="str">
        <x:v>Yes</x:v>
      </x:c>
      <x:c r="S291" s="7" t="n">
        <x:v>87.7</x:v>
      </x:c>
      <x:c r="T291" s="1" t="str">
        <x:v>Yes</x:v>
      </x:c>
      <x:c r="U291" s="1" t="str">
        <x:v>Completed</x:v>
      </x:c>
    </x:row>
    <x:row r="292">
      <x:c r="A292" s="1" t="str">
        <x:v>PUB-0291</x:v>
      </x:c>
      <x:c r="B292" s="5" t="n">
        <x:v>45893</x:v>
      </x:c>
      <x:c r="C292" s="5" t="n">
        <x:v>45909</x:v>
      </x:c>
      <x:c r="D292" s="5" t="n">
        <x:v>45899</x:v>
      </x:c>
      <x:c r="E292" s="1" t="str">
        <x:v>Design</x:v>
      </x:c>
      <x:c r="F292" s="1" t="str">
        <x:v>School Textbook</x:v>
      </x:c>
      <x:c r="G292" s="1" t="str">
        <x:v>Medium</x:v>
      </x:c>
      <x:c r="H292" s="1" t="str">
        <x:v>AI-Assisted</x:v>
      </x:c>
      <x:c r="I292" s="1" t="str">
        <x:v>Few-shot v2</x:v>
      </x:c>
      <x:c r="J292" s="1" t="n">
        <x:v>137</x:v>
      </x:c>
      <x:c r="K292" s="6" t="n">
        <x:v>46.4</x:v>
      </x:c>
      <x:c r="L292" s="6" t="n">
        <x:v>74.2</x:v>
      </x:c>
      <x:c r="M292" s="6" t="n">
        <x:v>27.8</x:v>
      </x:c>
      <x:c r="N292" s="6" t="n">
        <x:v>34276.19</x:v>
      </x:c>
      <x:c r="O292" s="6" t="n">
        <x:v>54835.36</x:v>
      </x:c>
      <x:c r="P292" s="6" t="n">
        <x:v>20559.17</x:v>
      </x:c>
      <x:c r="Q292" s="1" t="n">
        <x:v>0</x:v>
      </x:c>
      <x:c r="R292" s="1" t="str">
        <x:v>Yes</x:v>
      </x:c>
      <x:c r="S292" s="7" t="n">
        <x:v>79.9</x:v>
      </x:c>
      <x:c r="T292" s="1" t="str">
        <x:v>Yes</x:v>
      </x:c>
      <x:c r="U292" s="1" t="str">
        <x:v>Completed</x:v>
      </x:c>
    </x:row>
    <x:row r="293">
      <x:c r="A293" s="1" t="str">
        <x:v>PUB-0292</x:v>
      </x:c>
      <x:c r="B293" s="5" t="n">
        <x:v>45753</x:v>
      </x:c>
      <x:c r="C293" s="5" t="n">
        <x:v>45770</x:v>
      </x:c>
      <x:c r="D293" s="5" t="str"/>
      <x:c r="E293" s="1" t="str">
        <x:v>Design</x:v>
      </x:c>
      <x:c r="F293" s="1" t="str">
        <x:v>School Textbook</x:v>
      </x:c>
      <x:c r="G293" s="1" t="str">
        <x:v>Medium</x:v>
      </x:c>
      <x:c r="H293" s="1" t="str">
        <x:v>AI-Assisted</x:v>
      </x:c>
      <x:c r="I293" s="1" t="str">
        <x:v>Visual Brief</x:v>
      </x:c>
      <x:c r="J293" s="1" t="n">
        <x:v>206</x:v>
      </x:c>
      <x:c r="K293" s="6" t="n">
        <x:v>54.4</x:v>
      </x:c>
      <x:c r="L293" s="6" t="n">
        <x:v>93.7</x:v>
      </x:c>
      <x:c r="M293" s="6" t="n">
        <x:v>39.3</x:v>
      </x:c>
      <x:c r="N293" s="6" t="n">
        <x:v>59155.22</x:v>
      </x:c>
      <x:c r="O293" s="6" t="n">
        <x:v>101907.3</x:v>
      </x:c>
      <x:c r="P293" s="6" t="n">
        <x:v>42752.08</x:v>
      </x:c>
      <x:c r="Q293" s="1" t="n">
        <x:v>0</x:v>
      </x:c>
      <x:c r="R293" s="1" t="str"/>
      <x:c r="S293" s="7" t="n">
        <x:v>82.4</x:v>
      </x:c>
      <x:c r="T293" s="1" t="str"/>
      <x:c r="U293" s="1" t="str">
        <x:v>In Review</x:v>
      </x:c>
    </x:row>
    <x:row r="294">
      <x:c r="A294" s="1" t="str">
        <x:v>PUB-0293</x:v>
      </x:c>
      <x:c r="B294" s="5" t="n">
        <x:v>46151</x:v>
      </x:c>
      <x:c r="C294" s="5" t="n">
        <x:v>46174</x:v>
      </x:c>
      <x:c r="D294" s="5" t="n">
        <x:v>46161</x:v>
      </x:c>
      <x:c r="E294" s="1" t="str">
        <x:v>Production</x:v>
      </x:c>
      <x:c r="F294" s="1" t="str">
        <x:v>Workbook</x:v>
      </x:c>
      <x:c r="G294" s="1" t="str">
        <x:v>High</x:v>
      </x:c>
      <x:c r="H294" s="1" t="str">
        <x:v>AI-Assisted</x:v>
      </x:c>
      <x:c r="I294" s="1" t="str">
        <x:v>Editorial QA</x:v>
      </x:c>
      <x:c r="J294" s="1" t="n">
        <x:v>202</x:v>
      </x:c>
      <x:c r="K294" s="6" t="n">
        <x:v>75.6</x:v>
      </x:c>
      <x:c r="L294" s="6" t="n">
        <x:v>129.8</x:v>
      </x:c>
      <x:c r="M294" s="6" t="n">
        <x:v>54.2</x:v>
      </x:c>
      <x:c r="N294" s="6" t="n">
        <x:v>58760.78</x:v>
      </x:c>
      <x:c r="O294" s="6" t="n">
        <x:v>100877.42</x:v>
      </x:c>
      <x:c r="P294" s="6" t="n">
        <x:v>42116.64</x:v>
      </x:c>
      <x:c r="Q294" s="1" t="n">
        <x:v>0</x:v>
      </x:c>
      <x:c r="R294" s="1" t="str">
        <x:v>Yes</x:v>
      </x:c>
      <x:c r="S294" s="7" t="n">
        <x:v>90.9</x:v>
      </x:c>
      <x:c r="T294" s="1" t="str">
        <x:v>Yes</x:v>
      </x:c>
      <x:c r="U294" s="1" t="str">
        <x:v>Completed</x:v>
      </x:c>
    </x:row>
    <x:row r="295">
      <x:c r="A295" s="1" t="str">
        <x:v>PUB-0294</x:v>
      </x:c>
      <x:c r="B295" s="5" t="n">
        <x:v>45851</x:v>
      </x:c>
      <x:c r="C295" s="5" t="n">
        <x:v>45858</x:v>
      </x:c>
      <x:c r="D295" s="5" t="n">
        <x:v>45853</x:v>
      </x:c>
      <x:c r="E295" s="1" t="str">
        <x:v>Editorial</x:v>
      </x:c>
      <x:c r="F295" s="1" t="str">
        <x:v>Illustration</x:v>
      </x:c>
      <x:c r="G295" s="1" t="str">
        <x:v>Low</x:v>
      </x:c>
      <x:c r="H295" s="1" t="str">
        <x:v>AI-Assisted</x:v>
      </x:c>
      <x:c r="I295" s="1" t="str">
        <x:v>Few-shot v2</x:v>
      </x:c>
      <x:c r="J295" s="1" t="n">
        <x:v>70</x:v>
      </x:c>
      <x:c r="K295" s="6" t="n">
        <x:v>18.7</x:v>
      </x:c>
      <x:c r="L295" s="6" t="n">
        <x:v>28.9</x:v>
      </x:c>
      <x:c r="M295" s="6" t="n">
        <x:v>10.2</x:v>
      </x:c>
      <x:c r="N295" s="6" t="n">
        <x:v>15108.68</x:v>
      </x:c>
      <x:c r="O295" s="6" t="n">
        <x:v>23373.7</x:v>
      </x:c>
      <x:c r="P295" s="6" t="n">
        <x:v>8265.02</x:v>
      </x:c>
      <x:c r="Q295" s="1" t="n">
        <x:v>0</x:v>
      </x:c>
      <x:c r="R295" s="1" t="str">
        <x:v>Yes</x:v>
      </x:c>
      <x:c r="S295" s="7" t="n">
        <x:v>87.8</x:v>
      </x:c>
      <x:c r="T295" s="1" t="str">
        <x:v>Yes</x:v>
      </x:c>
      <x:c r="U295" s="1" t="str">
        <x:v>Completed</x:v>
      </x:c>
    </x:row>
    <x:row r="296">
      <x:c r="A296" s="1" t="str">
        <x:v>PUB-0295</x:v>
      </x:c>
      <x:c r="B296" s="5" t="n">
        <x:v>45917</x:v>
      </x:c>
      <x:c r="C296" s="5" t="n">
        <x:v>45924</x:v>
      </x:c>
      <x:c r="D296" s="5" t="n">
        <x:v>45919</x:v>
      </x:c>
      <x:c r="E296" s="1" t="str">
        <x:v>Editorial</x:v>
      </x:c>
      <x:c r="F296" s="1" t="str">
        <x:v>Assessment</x:v>
      </x:c>
      <x:c r="G296" s="1" t="str">
        <x:v>Medium</x:v>
      </x:c>
      <x:c r="H296" s="1" t="str">
        <x:v>AI-Assisted</x:v>
      </x:c>
      <x:c r="I296" s="1" t="str">
        <x:v>Editorial QA</x:v>
      </x:c>
      <x:c r="J296" s="1" t="n">
        <x:v>54</x:v>
      </x:c>
      <x:c r="K296" s="6" t="n">
        <x:v>16.3</x:v>
      </x:c>
      <x:c r="L296" s="6" t="n">
        <x:v>24.3</x:v>
      </x:c>
      <x:c r="M296" s="6" t="n">
        <x:v>8</x:v>
      </x:c>
      <x:c r="N296" s="6" t="n">
        <x:v>14527.11</x:v>
      </x:c>
      <x:c r="O296" s="6" t="n">
        <x:v>21700.79</x:v>
      </x:c>
      <x:c r="P296" s="6" t="n">
        <x:v>7173.68</x:v>
      </x:c>
      <x:c r="Q296" s="1" t="n">
        <x:v>0</x:v>
      </x:c>
      <x:c r="R296" s="1" t="str">
        <x:v>Yes</x:v>
      </x:c>
      <x:c r="S296" s="7" t="n">
        <x:v>85</x:v>
      </x:c>
      <x:c r="T296" s="1" t="str">
        <x:v>Yes</x:v>
      </x:c>
      <x:c r="U296" s="1" t="str">
        <x:v>Completed</x:v>
      </x:c>
    </x:row>
    <x:row r="297">
      <x:c r="A297" s="1" t="str">
        <x:v>PUB-0296</x:v>
      </x:c>
      <x:c r="B297" s="5" t="n">
        <x:v>46065</x:v>
      </x:c>
      <x:c r="C297" s="5" t="n">
        <x:v>46085</x:v>
      </x:c>
      <x:c r="D297" s="5" t="n">
        <x:v>46071</x:v>
      </x:c>
      <x:c r="E297" s="1" t="str">
        <x:v>Production</x:v>
      </x:c>
      <x:c r="F297" s="1" t="str">
        <x:v>E-book</x:v>
      </x:c>
      <x:c r="G297" s="1" t="str">
        <x:v>High</x:v>
      </x:c>
      <x:c r="H297" s="1" t="str">
        <x:v>AI-Assisted</x:v>
      </x:c>
      <x:c r="I297" s="1" t="str">
        <x:v>Editorial QA</x:v>
      </x:c>
      <x:c r="J297" s="1" t="n">
        <x:v>122</x:v>
      </x:c>
      <x:c r="K297" s="6" t="n">
        <x:v>46.2</x:v>
      </x:c>
      <x:c r="L297" s="6" t="n">
        <x:v>91.6</x:v>
      </x:c>
      <x:c r="M297" s="6" t="n">
        <x:v>45.4</x:v>
      </x:c>
      <x:c r="N297" s="6" t="n">
        <x:v>41772.74</x:v>
      </x:c>
      <x:c r="O297" s="6" t="n">
        <x:v>82826.67</x:v>
      </x:c>
      <x:c r="P297" s="6" t="n">
        <x:v>41053.93</x:v>
      </x:c>
      <x:c r="Q297" s="1" t="n">
        <x:v>0</x:v>
      </x:c>
      <x:c r="R297" s="1" t="str">
        <x:v>Yes</x:v>
      </x:c>
      <x:c r="S297" s="7" t="n">
        <x:v>87.6</x:v>
      </x:c>
      <x:c r="T297" s="1" t="str">
        <x:v>Yes</x:v>
      </x:c>
      <x:c r="U297" s="1" t="str">
        <x:v>Completed</x:v>
      </x:c>
    </x:row>
    <x:row r="298">
      <x:c r="A298" s="1" t="str">
        <x:v>PUB-0297</x:v>
      </x:c>
      <x:c r="B298" s="5" t="n">
        <x:v>45711</x:v>
      </x:c>
      <x:c r="C298" s="5" t="n">
        <x:v>45719</x:v>
      </x:c>
      <x:c r="D298" s="5" t="n">
        <x:v>45712</x:v>
      </x:c>
      <x:c r="E298" s="1" t="str">
        <x:v>Editorial</x:v>
      </x:c>
      <x:c r="F298" s="1" t="str">
        <x:v>E-book</x:v>
      </x:c>
      <x:c r="G298" s="1" t="str">
        <x:v>Medium</x:v>
      </x:c>
      <x:c r="H298" s="1" t="str">
        <x:v>AI-Assisted</x:v>
      </x:c>
      <x:c r="I298" s="1" t="str">
        <x:v>Structured v3</x:v>
      </x:c>
      <x:c r="J298" s="1" t="n">
        <x:v>45</x:v>
      </x:c>
      <x:c r="K298" s="6" t="n">
        <x:v>11.1</x:v>
      </x:c>
      <x:c r="L298" s="6" t="n">
        <x:v>22.1</x:v>
      </x:c>
      <x:c r="M298" s="6" t="n">
        <x:v>11</x:v>
      </x:c>
      <x:c r="N298" s="6" t="n">
        <x:v>8675.16</x:v>
      </x:c>
      <x:c r="O298" s="6" t="n">
        <x:v>17305.33</x:v>
      </x:c>
      <x:c r="P298" s="6" t="n">
        <x:v>8630.17</x:v>
      </x:c>
      <x:c r="Q298" s="1" t="n">
        <x:v>0</x:v>
      </x:c>
      <x:c r="R298" s="1" t="str">
        <x:v>Yes</x:v>
      </x:c>
      <x:c r="S298" s="7" t="n">
        <x:v>82.2</x:v>
      </x:c>
      <x:c r="T298" s="1" t="str">
        <x:v>Yes</x:v>
      </x:c>
      <x:c r="U298" s="1" t="str">
        <x:v>Completed</x:v>
      </x:c>
    </x:row>
    <x:row r="299">
      <x:c r="A299" s="1" t="str">
        <x:v>PUB-0298</x:v>
      </x:c>
      <x:c r="B299" s="5" t="n">
        <x:v>45951</x:v>
      </x:c>
      <x:c r="C299" s="5" t="n">
        <x:v>45957</x:v>
      </x:c>
      <x:c r="D299" s="5" t="n">
        <x:v>45952</x:v>
      </x:c>
      <x:c r="E299" s="1" t="str">
        <x:v>Production</x:v>
      </x:c>
      <x:c r="F299" s="1" t="str">
        <x:v>Assessment</x:v>
      </x:c>
      <x:c r="G299" s="1" t="str">
        <x:v>Medium</x:v>
      </x:c>
      <x:c r="H299" s="1" t="str">
        <x:v>Manual</x:v>
      </x:c>
      <x:c r="I299" s="1" t="str">
        <x:v>Manual / NA</x:v>
      </x:c>
      <x:c r="J299" s="1" t="n">
        <x:v>26</x:v>
      </x:c>
      <x:c r="K299" s="6" t="n">
        <x:v>10.9</x:v>
      </x:c>
      <x:c r="L299" s="6" t="n">
        <x:v>11.9</x:v>
      </x:c>
      <x:c r="M299" s="6" t="n">
        <x:v>1</x:v>
      </x:c>
      <x:c r="N299" s="6" t="n">
        <x:v>10665.02</x:v>
      </x:c>
      <x:c r="O299" s="6" t="n">
        <x:v>11615.01</x:v>
      </x:c>
      <x:c r="P299" s="6" t="n">
        <x:v>949.99</x:v>
      </x:c>
      <x:c r="Q299" s="1" t="n">
        <x:v>0</x:v>
      </x:c>
      <x:c r="R299" s="1" t="str">
        <x:v>Yes</x:v>
      </x:c>
      <x:c r="S299" s="7" t="n">
        <x:v>79.4</x:v>
      </x:c>
      <x:c r="T299" s="1" t="str">
        <x:v>Yes</x:v>
      </x:c>
      <x:c r="U299" s="1" t="str">
        <x:v>Completed</x:v>
      </x:c>
    </x:row>
    <x:row r="300">
      <x:c r="A300" s="1" t="str">
        <x:v>PUB-0299</x:v>
      </x:c>
      <x:c r="B300" s="5" t="n">
        <x:v>46180</x:v>
      </x:c>
      <x:c r="C300" s="5" t="n">
        <x:v>46188</x:v>
      </x:c>
      <x:c r="D300" s="5" t="n">
        <x:v>46183</x:v>
      </x:c>
      <x:c r="E300" s="1" t="str">
        <x:v>Design</x:v>
      </x:c>
      <x:c r="F300" s="1" t="str">
        <x:v>School Textbook</x:v>
      </x:c>
      <x:c r="G300" s="1" t="str">
        <x:v>Medium</x:v>
      </x:c>
      <x:c r="H300" s="1" t="str">
        <x:v>AI-Assisted</x:v>
      </x:c>
      <x:c r="I300" s="1" t="str">
        <x:v>Structured v3</x:v>
      </x:c>
      <x:c r="J300" s="1" t="n">
        <x:v>69</x:v>
      </x:c>
      <x:c r="K300" s="6" t="n">
        <x:v>19.9</x:v>
      </x:c>
      <x:c r="L300" s="6" t="n">
        <x:v>39.7</x:v>
      </x:c>
      <x:c r="M300" s="6" t="n">
        <x:v>19.8</x:v>
      </x:c>
      <x:c r="N300" s="6" t="n">
        <x:v>15680.57</x:v>
      </x:c>
      <x:c r="O300" s="6" t="n">
        <x:v>31243.19</x:v>
      </x:c>
      <x:c r="P300" s="6" t="n">
        <x:v>15562.62</x:v>
      </x:c>
      <x:c r="Q300" s="1" t="n">
        <x:v>0</x:v>
      </x:c>
      <x:c r="R300" s="1" t="str">
        <x:v>Yes</x:v>
      </x:c>
      <x:c r="S300" s="7" t="n">
        <x:v>86.3</x:v>
      </x:c>
      <x:c r="T300" s="1" t="str">
        <x:v>Yes</x:v>
      </x:c>
      <x:c r="U300" s="1" t="str">
        <x:v>Completed</x:v>
      </x:c>
    </x:row>
    <x:row r="301">
      <x:c r="A301" s="1" t="str">
        <x:v>PUB-0300</x:v>
      </x:c>
      <x:c r="B301" s="5" t="n">
        <x:v>45728</x:v>
      </x:c>
      <x:c r="C301" s="5" t="n">
        <x:v>45736</x:v>
      </x:c>
      <x:c r="D301" s="5" t="n">
        <x:v>45731</x:v>
      </x:c>
      <x:c r="E301" s="1" t="str">
        <x:v>Digital Learning</x:v>
      </x:c>
      <x:c r="F301" s="1" t="str">
        <x:v>Assessment</x:v>
      </x:c>
      <x:c r="G301" s="1" t="str">
        <x:v>Medium</x:v>
      </x:c>
      <x:c r="H301" s="1" t="str">
        <x:v>Manual</x:v>
      </x:c>
      <x:c r="I301" s="1" t="str">
        <x:v>Manual / NA</x:v>
      </x:c>
      <x:c r="J301" s="1" t="n">
        <x:v>48</x:v>
      </x:c>
      <x:c r="K301" s="6" t="n">
        <x:v>24</x:v>
      </x:c>
      <x:c r="L301" s="6" t="n">
        <x:v>25.9</x:v>
      </x:c>
      <x:c r="M301" s="6" t="n">
        <x:v>1.9</x:v>
      </x:c>
      <x:c r="N301" s="6" t="n">
        <x:v>27156.69</x:v>
      </x:c>
      <x:c r="O301" s="6" t="n">
        <x:v>29297.35</x:v>
      </x:c>
      <x:c r="P301" s="6" t="n">
        <x:v>2140.66</x:v>
      </x:c>
      <x:c r="Q301" s="1" t="n">
        <x:v>0</x:v>
      </x:c>
      <x:c r="R301" s="1" t="str">
        <x:v>Yes</x:v>
      </x:c>
      <x:c r="S301" s="7" t="n">
        <x:v>80.1</x:v>
      </x:c>
      <x:c r="T301" s="1" t="str">
        <x:v>Yes</x:v>
      </x:c>
      <x:c r="U301" s="1" t="str">
        <x:v>Completed</x:v>
      </x:c>
    </x:row>
    <x:row r="302">
      <x:c r="A302" s="1" t="str">
        <x:v>PUB-0301</x:v>
      </x:c>
      <x:c r="B302" s="5" t="n">
        <x:v>45837</x:v>
      </x:c>
      <x:c r="C302" s="5" t="n">
        <x:v>45847</x:v>
      </x:c>
      <x:c r="D302" s="5" t="n">
        <x:v>45840</x:v>
      </x:c>
      <x:c r="E302" s="1" t="str">
        <x:v>Design</x:v>
      </x:c>
      <x:c r="F302" s="1" t="str">
        <x:v>School Textbook</x:v>
      </x:c>
      <x:c r="G302" s="1" t="str">
        <x:v>High</x:v>
      </x:c>
      <x:c r="H302" s="1" t="str">
        <x:v>AI-Assisted</x:v>
      </x:c>
      <x:c r="I302" s="1" t="str">
        <x:v>Structured v3</x:v>
      </x:c>
      <x:c r="J302" s="1" t="n">
        <x:v>37</x:v>
      </x:c>
      <x:c r="K302" s="6" t="n">
        <x:v>19.2</x:v>
      </x:c>
      <x:c r="L302" s="6" t="n">
        <x:v>27.9</x:v>
      </x:c>
      <x:c r="M302" s="6" t="n">
        <x:v>8.7</x:v>
      </x:c>
      <x:c r="N302" s="6" t="n">
        <x:v>20286.21</x:v>
      </x:c>
      <x:c r="O302" s="6" t="n">
        <x:v>29438.31</x:v>
      </x:c>
      <x:c r="P302" s="6" t="n">
        <x:v>9152.1</x:v>
      </x:c>
      <x:c r="Q302" s="1" t="n">
        <x:v>0</x:v>
      </x:c>
      <x:c r="R302" s="1" t="str">
        <x:v>Yes</x:v>
      </x:c>
      <x:c r="S302" s="7" t="n">
        <x:v>84.1</x:v>
      </x:c>
      <x:c r="T302" s="1" t="str">
        <x:v>Yes</x:v>
      </x:c>
      <x:c r="U302" s="1" t="str">
        <x:v>Completed</x:v>
      </x:c>
    </x:row>
    <x:row r="303">
      <x:c r="A303" s="1" t="str">
        <x:v>PUB-0302</x:v>
      </x:c>
      <x:c r="B303" s="5" t="n">
        <x:v>46005</x:v>
      </x:c>
      <x:c r="C303" s="5" t="n">
        <x:v>46014</x:v>
      </x:c>
      <x:c r="D303" s="5" t="n">
        <x:v>46006</x:v>
      </x:c>
      <x:c r="E303" s="1" t="str">
        <x:v>Digital Learning</x:v>
      </x:c>
      <x:c r="F303" s="1" t="str">
        <x:v>Workbook</x:v>
      </x:c>
      <x:c r="G303" s="1" t="str">
        <x:v>Medium</x:v>
      </x:c>
      <x:c r="H303" s="1" t="str">
        <x:v>AI-Assisted</x:v>
      </x:c>
      <x:c r="I303" s="1" t="str">
        <x:v>Editorial QA</x:v>
      </x:c>
      <x:c r="J303" s="1" t="n">
        <x:v>15</x:v>
      </x:c>
      <x:c r="K303" s="6" t="n">
        <x:v>3.6</x:v>
      </x:c>
      <x:c r="L303" s="6" t="n">
        <x:v>6.3</x:v>
      </x:c>
      <x:c r="M303" s="6" t="n">
        <x:v>2.7</x:v>
      </x:c>
      <x:c r="N303" s="6" t="n">
        <x:v>3759.58</x:v>
      </x:c>
      <x:c r="O303" s="6" t="n">
        <x:v>6527.89</x:v>
      </x:c>
      <x:c r="P303" s="6" t="n">
        <x:v>2768.31</x:v>
      </x:c>
      <x:c r="Q303" s="1" t="n">
        <x:v>0</x:v>
      </x:c>
      <x:c r="R303" s="1" t="str">
        <x:v>Yes</x:v>
      </x:c>
      <x:c r="S303" s="7" t="n">
        <x:v>75.6</x:v>
      </x:c>
      <x:c r="T303" s="1" t="str">
        <x:v>Yes</x:v>
      </x:c>
      <x:c r="U303" s="1" t="str">
        <x:v>Completed</x:v>
      </x:c>
    </x:row>
    <x:row r="304">
      <x:c r="A304" s="1" t="str">
        <x:v>PUB-0303</x:v>
      </x:c>
      <x:c r="B304" s="5" t="n">
        <x:v>46080</x:v>
      </x:c>
      <x:c r="C304" s="5" t="n">
        <x:v>46085</x:v>
      </x:c>
      <x:c r="D304" s="5" t="n">
        <x:v>46081</x:v>
      </x:c>
      <x:c r="E304" s="1" t="str">
        <x:v>Digital Learning</x:v>
      </x:c>
      <x:c r="F304" s="1" t="str">
        <x:v>Assessment</x:v>
      </x:c>
      <x:c r="G304" s="1" t="str">
        <x:v>Medium</x:v>
      </x:c>
      <x:c r="H304" s="1" t="str">
        <x:v>AI-Assisted</x:v>
      </x:c>
      <x:c r="I304" s="1" t="str">
        <x:v>Visual Brief</x:v>
      </x:c>
      <x:c r="J304" s="1" t="n">
        <x:v>35</x:v>
      </x:c>
      <x:c r="K304" s="6" t="n">
        <x:v>10.3</x:v>
      </x:c>
      <x:c r="L304" s="6" t="n">
        <x:v>15.7</x:v>
      </x:c>
      <x:c r="M304" s="6" t="n">
        <x:v>5.4</x:v>
      </x:c>
      <x:c r="N304" s="6" t="n">
        <x:v>8456.26</x:v>
      </x:c>
      <x:c r="O304" s="6" t="n">
        <x:v>12866.46</x:v>
      </x:c>
      <x:c r="P304" s="6" t="n">
        <x:v>4410.2</x:v>
      </x:c>
      <x:c r="Q304" s="1" t="n">
        <x:v>0</x:v>
      </x:c>
      <x:c r="R304" s="1" t="str">
        <x:v>Yes</x:v>
      </x:c>
      <x:c r="S304" s="7" t="n">
        <x:v>91.1</x:v>
      </x:c>
      <x:c r="T304" s="1" t="str">
        <x:v>Yes</x:v>
      </x:c>
      <x:c r="U304" s="1" t="str">
        <x:v>Completed</x:v>
      </x:c>
    </x:row>
    <x:row r="305">
      <x:c r="A305" s="1" t="str">
        <x:v>PUB-0304</x:v>
      </x:c>
      <x:c r="B305" s="5" t="n">
        <x:v>45852</x:v>
      </x:c>
      <x:c r="C305" s="5" t="n">
        <x:v>45857</x:v>
      </x:c>
      <x:c r="D305" s="5" t="str"/>
      <x:c r="E305" s="1" t="str">
        <x:v>Design</x:v>
      </x:c>
      <x:c r="F305" s="1" t="str">
        <x:v>School Textbook</x:v>
      </x:c>
      <x:c r="G305" s="1" t="str">
        <x:v>Low</x:v>
      </x:c>
      <x:c r="H305" s="1" t="str">
        <x:v>Manual</x:v>
      </x:c>
      <x:c r="I305" s="1" t="str">
        <x:v>Manual / NA</x:v>
      </x:c>
      <x:c r="J305" s="1" t="n">
        <x:v>75</x:v>
      </x:c>
      <x:c r="K305" s="6" t="n">
        <x:v>23.1</x:v>
      </x:c>
      <x:c r="L305" s="6" t="n">
        <x:v>24.9</x:v>
      </x:c>
      <x:c r="M305" s="6" t="n">
        <x:v>1.8</x:v>
      </x:c>
      <x:c r="N305" s="6" t="n">
        <x:v>22159.79</x:v>
      </x:c>
      <x:c r="O305" s="6" t="n">
        <x:v>23870.64</x:v>
      </x:c>
      <x:c r="P305" s="6" t="n">
        <x:v>1710.85</x:v>
      </x:c>
      <x:c r="Q305" s="1" t="n">
        <x:v>1</x:v>
      </x:c>
      <x:c r="R305" s="1" t="str"/>
      <x:c r="S305" s="7" t="n">
        <x:v>87.7</x:v>
      </x:c>
      <x:c r="T305" s="1" t="str"/>
      <x:c r="U305" s="1" t="str">
        <x:v>In Progress</x:v>
      </x:c>
    </x:row>
    <x:row r="306">
      <x:c r="A306" s="1" t="str">
        <x:v>PUB-0305</x:v>
      </x:c>
      <x:c r="B306" s="5" t="n">
        <x:v>46162</x:v>
      </x:c>
      <x:c r="C306" s="5" t="n">
        <x:v>46174</x:v>
      </x:c>
      <x:c r="D306" s="5" t="n">
        <x:v>46165</x:v>
      </x:c>
      <x:c r="E306" s="1" t="str">
        <x:v>Production</x:v>
      </x:c>
      <x:c r="F306" s="1" t="str">
        <x:v>Illustration</x:v>
      </x:c>
      <x:c r="G306" s="1" t="str">
        <x:v>Medium</x:v>
      </x:c>
      <x:c r="H306" s="1" t="str">
        <x:v>AI-Assisted</x:v>
      </x:c>
      <x:c r="I306" s="1" t="str">
        <x:v>Structured v3</x:v>
      </x:c>
      <x:c r="J306" s="1" t="n">
        <x:v>65</x:v>
      </x:c>
      <x:c r="K306" s="6" t="n">
        <x:v>19.4</x:v>
      </x:c>
      <x:c r="L306" s="6" t="n">
        <x:v>27.9</x:v>
      </x:c>
      <x:c r="M306" s="6" t="n">
        <x:v>8.5</x:v>
      </x:c>
      <x:c r="N306" s="6" t="n">
        <x:v>21155.58</x:v>
      </x:c>
      <x:c r="O306" s="6" t="n">
        <x:v>30436.18</x:v>
      </x:c>
      <x:c r="P306" s="6" t="n">
        <x:v>9280.6</x:v>
      </x:c>
      <x:c r="Q306" s="1" t="n">
        <x:v>0</x:v>
      </x:c>
      <x:c r="R306" s="1" t="str">
        <x:v>Yes</x:v>
      </x:c>
      <x:c r="S306" s="7" t="n">
        <x:v>88.5</x:v>
      </x:c>
      <x:c r="T306" s="1" t="str">
        <x:v>Yes</x:v>
      </x:c>
      <x:c r="U306" s="1" t="str">
        <x:v>Completed</x:v>
      </x:c>
    </x:row>
    <x:row r="307">
      <x:c r="A307" s="1" t="str">
        <x:v>PUB-0306</x:v>
      </x:c>
      <x:c r="B307" s="5" t="n">
        <x:v>45885</x:v>
      </x:c>
      <x:c r="C307" s="5" t="n">
        <x:v>45894</x:v>
      </x:c>
      <x:c r="D307" s="5" t="n">
        <x:v>45890</x:v>
      </x:c>
      <x:c r="E307" s="1" t="str">
        <x:v>Production</x:v>
      </x:c>
      <x:c r="F307" s="1" t="str">
        <x:v>School Textbook</x:v>
      </x:c>
      <x:c r="G307" s="1" t="str">
        <x:v>Low</x:v>
      </x:c>
      <x:c r="H307" s="1" t="str">
        <x:v>AI-Assisted</x:v>
      </x:c>
      <x:c r="I307" s="1" t="str">
        <x:v>Few-shot v2</x:v>
      </x:c>
      <x:c r="J307" s="1" t="n">
        <x:v>146</x:v>
      </x:c>
      <x:c r="K307" s="6" t="n">
        <x:v>35.9</x:v>
      </x:c>
      <x:c r="L307" s="6" t="n">
        <x:v>52.2</x:v>
      </x:c>
      <x:c r="M307" s="6" t="n">
        <x:v>16.3</x:v>
      </x:c>
      <x:c r="N307" s="6" t="n">
        <x:v>37262.48</x:v>
      </x:c>
      <x:c r="O307" s="6" t="n">
        <x:v>54229.08</x:v>
      </x:c>
      <x:c r="P307" s="6" t="n">
        <x:v>16966.6</x:v>
      </x:c>
      <x:c r="Q307" s="1" t="n">
        <x:v>0</x:v>
      </x:c>
      <x:c r="R307" s="1" t="str">
        <x:v>Yes</x:v>
      </x:c>
      <x:c r="S307" s="7" t="n">
        <x:v>92.5</x:v>
      </x:c>
      <x:c r="T307" s="1" t="str">
        <x:v>Yes</x:v>
      </x:c>
      <x:c r="U307" s="1" t="str">
        <x:v>Completed</x:v>
      </x:c>
    </x:row>
    <x:row r="308">
      <x:c r="A308" s="1" t="str">
        <x:v>PUB-0307</x:v>
      </x:c>
      <x:c r="B308" s="5" t="n">
        <x:v>45981</x:v>
      </x:c>
      <x:c r="C308" s="5" t="n">
        <x:v>45991</x:v>
      </x:c>
      <x:c r="D308" s="5" t="n">
        <x:v>45985</x:v>
      </x:c>
      <x:c r="E308" s="1" t="str">
        <x:v>Production</x:v>
      </x:c>
      <x:c r="F308" s="1" t="str">
        <x:v>School Textbook</x:v>
      </x:c>
      <x:c r="G308" s="1" t="str">
        <x:v>Medium</x:v>
      </x:c>
      <x:c r="H308" s="1" t="str">
        <x:v>AI-Assisted</x:v>
      </x:c>
      <x:c r="I308" s="1" t="str">
        <x:v>Editorial QA</x:v>
      </x:c>
      <x:c r="J308" s="1" t="n">
        <x:v>91</x:v>
      </x:c>
      <x:c r="K308" s="6" t="n">
        <x:v>26.3</x:v>
      </x:c>
      <x:c r="L308" s="6" t="n">
        <x:v>50</x:v>
      </x:c>
      <x:c r="M308" s="6" t="n">
        <x:v>23.7</x:v>
      </x:c>
      <x:c r="N308" s="6" t="n">
        <x:v>20551.46</x:v>
      </x:c>
      <x:c r="O308" s="6" t="n">
        <x:v>39082.23</x:v>
      </x:c>
      <x:c r="P308" s="6" t="n">
        <x:v>18530.77</x:v>
      </x:c>
      <x:c r="Q308" s="1" t="n">
        <x:v>0</x:v>
      </x:c>
      <x:c r="R308" s="1" t="str">
        <x:v>Yes</x:v>
      </x:c>
      <x:c r="S308" s="7" t="n">
        <x:v>93.9</x:v>
      </x:c>
      <x:c r="T308" s="1" t="str">
        <x:v>Yes</x:v>
      </x:c>
      <x:c r="U308" s="1" t="str">
        <x:v>Completed</x:v>
      </x:c>
    </x:row>
    <x:row r="309">
      <x:c r="A309" s="1" t="str">
        <x:v>PUB-0308</x:v>
      </x:c>
      <x:c r="B309" s="5" t="n">
        <x:v>46087</x:v>
      </x:c>
      <x:c r="C309" s="5" t="n">
        <x:v>46099</x:v>
      </x:c>
      <x:c r="D309" s="5" t="n">
        <x:v>46093</x:v>
      </x:c>
      <x:c r="E309" s="1" t="str">
        <x:v>Production</x:v>
      </x:c>
      <x:c r="F309" s="1" t="str">
        <x:v>Workbook</x:v>
      </x:c>
      <x:c r="G309" s="1" t="str">
        <x:v>Medium</x:v>
      </x:c>
      <x:c r="H309" s="1" t="str">
        <x:v>Manual</x:v>
      </x:c>
      <x:c r="I309" s="1" t="str">
        <x:v>Manual / NA</x:v>
      </x:c>
      <x:c r="J309" s="1" t="n">
        <x:v>79</x:v>
      </x:c>
      <x:c r="K309" s="6" t="n">
        <x:v>41.3</x:v>
      </x:c>
      <x:c r="L309" s="6" t="n">
        <x:v>38.4</x:v>
      </x:c>
      <x:c r="M309" s="6" t="n">
        <x:v>0</x:v>
      </x:c>
      <x:c r="N309" s="6" t="n">
        <x:v>41011.15</x:v>
      </x:c>
      <x:c r="O309" s="6" t="n">
        <x:v>38102.73</x:v>
      </x:c>
      <x:c r="P309" s="6" t="n">
        <x:v>0</x:v>
      </x:c>
      <x:c r="Q309" s="1" t="n">
        <x:v>0</x:v>
      </x:c>
      <x:c r="R309" s="1" t="str">
        <x:v>Yes</x:v>
      </x:c>
      <x:c r="S309" s="7" t="n">
        <x:v>83.7</x:v>
      </x:c>
      <x:c r="T309" s="1" t="str">
        <x:v>Yes</x:v>
      </x:c>
      <x:c r="U309" s="1" t="str">
        <x:v>Completed</x:v>
      </x:c>
    </x:row>
    <x:row r="310">
      <x:c r="A310" s="1" t="str">
        <x:v>PUB-0309</x:v>
      </x:c>
      <x:c r="B310" s="5" t="n">
        <x:v>46100</x:v>
      </x:c>
      <x:c r="C310" s="5" t="n">
        <x:v>46119</x:v>
      </x:c>
      <x:c r="D310" s="5" t="n">
        <x:v>46111</x:v>
      </x:c>
      <x:c r="E310" s="1" t="str">
        <x:v>Digital Learning</x:v>
      </x:c>
      <x:c r="F310" s="1" t="str">
        <x:v>School Textbook</x:v>
      </x:c>
      <x:c r="G310" s="1" t="str">
        <x:v>Low</x:v>
      </x:c>
      <x:c r="H310" s="1" t="str">
        <x:v>Manual</x:v>
      </x:c>
      <x:c r="I310" s="1" t="str">
        <x:v>Manual / NA</x:v>
      </x:c>
      <x:c r="J310" s="1" t="n">
        <x:v>197</x:v>
      </x:c>
      <x:c r="K310" s="6" t="n">
        <x:v>79.4</x:v>
      </x:c>
      <x:c r="L310" s="6" t="n">
        <x:v>86.8</x:v>
      </x:c>
      <x:c r="M310" s="6" t="n">
        <x:v>7.4</x:v>
      </x:c>
      <x:c r="N310" s="6" t="n">
        <x:v>71444.03</x:v>
      </x:c>
      <x:c r="O310" s="6" t="n">
        <x:v>78090.75</x:v>
      </x:c>
      <x:c r="P310" s="6" t="n">
        <x:v>6646.72</x:v>
      </x:c>
      <x:c r="Q310" s="1" t="n">
        <x:v>0</x:v>
      </x:c>
      <x:c r="R310" s="1" t="str">
        <x:v>Yes</x:v>
      </x:c>
      <x:c r="S310" s="7" t="n">
        <x:v>88.9</x:v>
      </x:c>
      <x:c r="T310" s="1" t="str">
        <x:v>Yes</x:v>
      </x:c>
      <x:c r="U310" s="1" t="str">
        <x:v>Completed</x:v>
      </x:c>
    </x:row>
    <x:row r="311">
      <x:c r="A311" s="1" t="str">
        <x:v>PUB-0310</x:v>
      </x:c>
      <x:c r="B311" s="5" t="n">
        <x:v>45965</x:v>
      </x:c>
      <x:c r="C311" s="5" t="n">
        <x:v>45972</x:v>
      </x:c>
      <x:c r="D311" s="5" t="n">
        <x:v>45967</x:v>
      </x:c>
      <x:c r="E311" s="1" t="str">
        <x:v>Editorial</x:v>
      </x:c>
      <x:c r="F311" s="1" t="str">
        <x:v>E-book</x:v>
      </x:c>
      <x:c r="G311" s="1" t="str">
        <x:v>Low</x:v>
      </x:c>
      <x:c r="H311" s="1" t="str">
        <x:v>AI-Assisted</x:v>
      </x:c>
      <x:c r="I311" s="1" t="str">
        <x:v>Structured v3</x:v>
      </x:c>
      <x:c r="J311" s="1" t="n">
        <x:v>49</x:v>
      </x:c>
      <x:c r="K311" s="6" t="n">
        <x:v>12.9</x:v>
      </x:c>
      <x:c r="L311" s="6" t="n">
        <x:v>21.7</x:v>
      </x:c>
      <x:c r="M311" s="6" t="n">
        <x:v>8.8</x:v>
      </x:c>
      <x:c r="N311" s="6" t="n">
        <x:v>12447.61</x:v>
      </x:c>
      <x:c r="O311" s="6" t="n">
        <x:v>20899.08</x:v>
      </x:c>
      <x:c r="P311" s="6" t="n">
        <x:v>8451.47</x:v>
      </x:c>
      <x:c r="Q311" s="1" t="n">
        <x:v>0</x:v>
      </x:c>
      <x:c r="R311" s="1" t="str">
        <x:v>Yes</x:v>
      </x:c>
      <x:c r="S311" s="7" t="n">
        <x:v>83.6</x:v>
      </x:c>
      <x:c r="T311" s="1" t="str">
        <x:v>Yes</x:v>
      </x:c>
      <x:c r="U311" s="1" t="str">
        <x:v>Completed</x:v>
      </x:c>
    </x:row>
    <x:row r="312">
      <x:c r="A312" s="1" t="str">
        <x:v>PUB-0311</x:v>
      </x:c>
      <x:c r="B312" s="5" t="n">
        <x:v>45921</x:v>
      </x:c>
      <x:c r="C312" s="5" t="n">
        <x:v>45935</x:v>
      </x:c>
      <x:c r="D312" s="5" t="n">
        <x:v>45927</x:v>
      </x:c>
      <x:c r="E312" s="1" t="str">
        <x:v>Design</x:v>
      </x:c>
      <x:c r="F312" s="1" t="str">
        <x:v>Workbook</x:v>
      </x:c>
      <x:c r="G312" s="1" t="str">
        <x:v>Low</x:v>
      </x:c>
      <x:c r="H312" s="1" t="str">
        <x:v>AI-Assisted</x:v>
      </x:c>
      <x:c r="I312" s="1" t="str">
        <x:v>Editorial QA</x:v>
      </x:c>
      <x:c r="J312" s="1" t="n">
        <x:v>163</x:v>
      </x:c>
      <x:c r="K312" s="6" t="n">
        <x:v>41.4</x:v>
      </x:c>
      <x:c r="L312" s="6" t="n">
        <x:v>65.1</x:v>
      </x:c>
      <x:c r="M312" s="6" t="n">
        <x:v>23.7</x:v>
      </x:c>
      <x:c r="N312" s="6" t="n">
        <x:v>30522.95</x:v>
      </x:c>
      <x:c r="O312" s="6" t="n">
        <x:v>47960.77</x:v>
      </x:c>
      <x:c r="P312" s="6" t="n">
        <x:v>17437.82</x:v>
      </x:c>
      <x:c r="Q312" s="1" t="n">
        <x:v>0</x:v>
      </x:c>
      <x:c r="R312" s="1" t="str">
        <x:v>Yes</x:v>
      </x:c>
      <x:c r="S312" s="7" t="n">
        <x:v>84</x:v>
      </x:c>
      <x:c r="T312" s="1" t="str">
        <x:v>Yes</x:v>
      </x:c>
      <x:c r="U312" s="1" t="str">
        <x:v>Completed</x:v>
      </x:c>
    </x:row>
    <x:row r="313">
      <x:c r="A313" s="1" t="str">
        <x:v>PUB-0312</x:v>
      </x:c>
      <x:c r="B313" s="5" t="n">
        <x:v>45738</x:v>
      </x:c>
      <x:c r="C313" s="5" t="n">
        <x:v>45744</x:v>
      </x:c>
      <x:c r="D313" s="5" t="n">
        <x:v>45740</x:v>
      </x:c>
      <x:c r="E313" s="1" t="str">
        <x:v>Design</x:v>
      </x:c>
      <x:c r="F313" s="1" t="str">
        <x:v>Workbook</x:v>
      </x:c>
      <x:c r="G313" s="1" t="str">
        <x:v>Medium</x:v>
      </x:c>
      <x:c r="H313" s="1" t="str">
        <x:v>AI-Assisted</x:v>
      </x:c>
      <x:c r="I313" s="1" t="str">
        <x:v>Structured v3</x:v>
      </x:c>
      <x:c r="J313" s="1" t="n">
        <x:v>50</x:v>
      </x:c>
      <x:c r="K313" s="6" t="n">
        <x:v>16.4</x:v>
      </x:c>
      <x:c r="L313" s="6" t="n">
        <x:v>28.2</x:v>
      </x:c>
      <x:c r="M313" s="6" t="n">
        <x:v>11.8</x:v>
      </x:c>
      <x:c r="N313" s="6" t="n">
        <x:v>15680.94</x:v>
      </x:c>
      <x:c r="O313" s="6" t="n">
        <x:v>26977.18</x:v>
      </x:c>
      <x:c r="P313" s="6" t="n">
        <x:v>11296.24</x:v>
      </x:c>
      <x:c r="Q313" s="1" t="n">
        <x:v>0</x:v>
      </x:c>
      <x:c r="R313" s="1" t="str">
        <x:v>Yes</x:v>
      </x:c>
      <x:c r="S313" s="7" t="n">
        <x:v>95.5</x:v>
      </x:c>
      <x:c r="T313" s="1" t="str">
        <x:v>Yes</x:v>
      </x:c>
      <x:c r="U313" s="1" t="str">
        <x:v>Completed</x:v>
      </x:c>
    </x:row>
    <x:row r="314">
      <x:c r="A314" s="1" t="str">
        <x:v>PUB-0313</x:v>
      </x:c>
      <x:c r="B314" s="5" t="n">
        <x:v>45891</x:v>
      </x:c>
      <x:c r="C314" s="5" t="n">
        <x:v>45897</x:v>
      </x:c>
      <x:c r="D314" s="5" t="n">
        <x:v>45893</x:v>
      </x:c>
      <x:c r="E314" s="1" t="str">
        <x:v>Editorial</x:v>
      </x:c>
      <x:c r="F314" s="1" t="str">
        <x:v>Assessment</x:v>
      </x:c>
      <x:c r="G314" s="1" t="str">
        <x:v>Medium</x:v>
      </x:c>
      <x:c r="H314" s="1" t="str">
        <x:v>AI-Assisted</x:v>
      </x:c>
      <x:c r="I314" s="1" t="str">
        <x:v>Editorial QA</x:v>
      </x:c>
      <x:c r="J314" s="1" t="n">
        <x:v>54</x:v>
      </x:c>
      <x:c r="K314" s="6" t="n">
        <x:v>17</x:v>
      </x:c>
      <x:c r="L314" s="6" t="n">
        <x:v>24.7</x:v>
      </x:c>
      <x:c r="M314" s="6" t="n">
        <x:v>7.7</x:v>
      </x:c>
      <x:c r="N314" s="6" t="n">
        <x:v>14136.9</x:v>
      </x:c>
      <x:c r="O314" s="6" t="n">
        <x:v>20561.2</x:v>
      </x:c>
      <x:c r="P314" s="6" t="n">
        <x:v>6424.3</x:v>
      </x:c>
      <x:c r="Q314" s="1" t="n">
        <x:v>0</x:v>
      </x:c>
      <x:c r="R314" s="1" t="str">
        <x:v>Yes</x:v>
      </x:c>
      <x:c r="S314" s="7" t="n">
        <x:v>94.6</x:v>
      </x:c>
      <x:c r="T314" s="1" t="str">
        <x:v>Yes</x:v>
      </x:c>
      <x:c r="U314" s="1" t="str">
        <x:v>Completed</x:v>
      </x:c>
    </x:row>
    <x:row r="315">
      <x:c r="A315" s="1" t="str">
        <x:v>PUB-0314</x:v>
      </x:c>
      <x:c r="B315" s="5" t="n">
        <x:v>45898</x:v>
      </x:c>
      <x:c r="C315" s="5" t="n">
        <x:v>45907</x:v>
      </x:c>
      <x:c r="D315" s="5" t="n">
        <x:v>45902</x:v>
      </x:c>
      <x:c r="E315" s="1" t="str">
        <x:v>Production</x:v>
      </x:c>
      <x:c r="F315" s="1" t="str">
        <x:v>E-book</x:v>
      </x:c>
      <x:c r="G315" s="1" t="str">
        <x:v>Medium</x:v>
      </x:c>
      <x:c r="H315" s="1" t="str">
        <x:v>AI-Assisted</x:v>
      </x:c>
      <x:c r="I315" s="1" t="str">
        <x:v>Structured v3</x:v>
      </x:c>
      <x:c r="J315" s="1" t="n">
        <x:v>50</x:v>
      </x:c>
      <x:c r="K315" s="6" t="n">
        <x:v>13.4</x:v>
      </x:c>
      <x:c r="L315" s="6" t="n">
        <x:v>19.1</x:v>
      </x:c>
      <x:c r="M315" s="6" t="n">
        <x:v>5.7</x:v>
      </x:c>
      <x:c r="N315" s="6" t="n">
        <x:v>11880.34</x:v>
      </x:c>
      <x:c r="O315" s="6" t="n">
        <x:v>16890.56</x:v>
      </x:c>
      <x:c r="P315" s="6" t="n">
        <x:v>5010.22</x:v>
      </x:c>
      <x:c r="Q315" s="1" t="n">
        <x:v>2</x:v>
      </x:c>
      <x:c r="R315" s="1" t="str">
        <x:v>No</x:v>
      </x:c>
      <x:c r="S315" s="7" t="n">
        <x:v>84.6</x:v>
      </x:c>
      <x:c r="T315" s="1" t="str">
        <x:v>Yes</x:v>
      </x:c>
      <x:c r="U315" s="1" t="str">
        <x:v>Completed</x:v>
      </x:c>
    </x:row>
    <x:row r="316">
      <x:c r="A316" s="1" t="str">
        <x:v>PUB-0315</x:v>
      </x:c>
      <x:c r="B316" s="5" t="n">
        <x:v>45817</x:v>
      </x:c>
      <x:c r="C316" s="5" t="n">
        <x:v>45835</x:v>
      </x:c>
      <x:c r="D316" s="5" t="str"/>
      <x:c r="E316" s="1" t="str">
        <x:v>Editorial</x:v>
      </x:c>
      <x:c r="F316" s="1" t="str">
        <x:v>E-book</x:v>
      </x:c>
      <x:c r="G316" s="1" t="str">
        <x:v>Medium</x:v>
      </x:c>
      <x:c r="H316" s="1" t="str">
        <x:v>AI-Assisted</x:v>
      </x:c>
      <x:c r="I316" s="1" t="str">
        <x:v>Structured v3</x:v>
      </x:c>
      <x:c r="J316" s="1" t="n">
        <x:v>196</x:v>
      </x:c>
      <x:c r="K316" s="6" t="n">
        <x:v>49.9</x:v>
      </x:c>
      <x:c r="L316" s="6" t="n">
        <x:v>97.6</x:v>
      </x:c>
      <x:c r="M316" s="6" t="n">
        <x:v>47.7</x:v>
      </x:c>
      <x:c r="N316" s="6" t="n">
        <x:v>53356.02</x:v>
      </x:c>
      <x:c r="O316" s="6" t="n">
        <x:v>104331.7</x:v>
      </x:c>
      <x:c r="P316" s="6" t="n">
        <x:v>50975.68</x:v>
      </x:c>
      <x:c r="Q316" s="1" t="n">
        <x:v>2</x:v>
      </x:c>
      <x:c r="R316" s="1" t="str"/>
      <x:c r="S316" s="7" t="n">
        <x:v>88.9</x:v>
      </x:c>
      <x:c r="T316" s="1" t="str"/>
      <x:c r="U316" s="1" t="str">
        <x:v>In Progress</x:v>
      </x:c>
    </x:row>
    <x:row r="317">
      <x:c r="A317" s="1" t="str">
        <x:v>PUB-0316</x:v>
      </x:c>
      <x:c r="B317" s="5" t="n">
        <x:v>45936</x:v>
      </x:c>
      <x:c r="C317" s="5" t="n">
        <x:v>45950</x:v>
      </x:c>
      <x:c r="D317" s="5" t="n">
        <x:v>45944</x:v>
      </x:c>
      <x:c r="E317" s="1" t="str">
        <x:v>Design</x:v>
      </x:c>
      <x:c r="F317" s="1" t="str">
        <x:v>School Textbook</x:v>
      </x:c>
      <x:c r="G317" s="1" t="str">
        <x:v>Low</x:v>
      </x:c>
      <x:c r="H317" s="1" t="str">
        <x:v>Manual</x:v>
      </x:c>
      <x:c r="I317" s="1" t="str">
        <x:v>Manual / NA</x:v>
      </x:c>
      <x:c r="J317" s="1" t="n">
        <x:v>146</x:v>
      </x:c>
      <x:c r="K317" s="6" t="n">
        <x:v>59.2</x:v>
      </x:c>
      <x:c r="L317" s="6" t="n">
        <x:v>58.8</x:v>
      </x:c>
      <x:c r="M317" s="6" t="n">
        <x:v>0</x:v>
      </x:c>
      <x:c r="N317" s="6" t="n">
        <x:v>57301.19</x:v>
      </x:c>
      <x:c r="O317" s="6" t="n">
        <x:v>56951.4</x:v>
      </x:c>
      <x:c r="P317" s="6" t="n">
        <x:v>0</x:v>
      </x:c>
      <x:c r="Q317" s="1" t="n">
        <x:v>0</x:v>
      </x:c>
      <x:c r="R317" s="1" t="str">
        <x:v>Yes</x:v>
      </x:c>
      <x:c r="S317" s="7" t="n">
        <x:v>81.2</x:v>
      </x:c>
      <x:c r="T317" s="1" t="str">
        <x:v>Yes</x:v>
      </x:c>
      <x:c r="U317" s="1" t="str">
        <x:v>Completed</x:v>
      </x:c>
    </x:row>
    <x:row r="318">
      <x:c r="A318" s="1" t="str">
        <x:v>PUB-0317</x:v>
      </x:c>
      <x:c r="B318" s="5" t="n">
        <x:v>45975</x:v>
      </x:c>
      <x:c r="C318" s="5" t="n">
        <x:v>45985</x:v>
      </x:c>
      <x:c r="D318" s="5" t="n">
        <x:v>45978</x:v>
      </x:c>
      <x:c r="E318" s="1" t="str">
        <x:v>Digital Learning</x:v>
      </x:c>
      <x:c r="F318" s="1" t="str">
        <x:v>Workbook</x:v>
      </x:c>
      <x:c r="G318" s="1" t="str">
        <x:v>Medium</x:v>
      </x:c>
      <x:c r="H318" s="1" t="str">
        <x:v>AI-Assisted</x:v>
      </x:c>
      <x:c r="I318" s="1" t="str">
        <x:v>Structured v3</x:v>
      </x:c>
      <x:c r="J318" s="1" t="n">
        <x:v>86</x:v>
      </x:c>
      <x:c r="K318" s="6" t="n">
        <x:v>19.8</x:v>
      </x:c>
      <x:c r="L318" s="6" t="n">
        <x:v>35.9</x:v>
      </x:c>
      <x:c r="M318" s="6" t="n">
        <x:v>16.1</x:v>
      </x:c>
      <x:c r="N318" s="6" t="n">
        <x:v>12870.91</x:v>
      </x:c>
      <x:c r="O318" s="6" t="n">
        <x:v>23320.76</x:v>
      </x:c>
      <x:c r="P318" s="6" t="n">
        <x:v>10449.85</x:v>
      </x:c>
      <x:c r="Q318" s="1" t="n">
        <x:v>0</x:v>
      </x:c>
      <x:c r="R318" s="1" t="str">
        <x:v>Yes</x:v>
      </x:c>
      <x:c r="S318" s="7" t="n">
        <x:v>91.9</x:v>
      </x:c>
      <x:c r="T318" s="1" t="str">
        <x:v>Yes</x:v>
      </x:c>
      <x:c r="U318" s="1" t="str">
        <x:v>Completed</x:v>
      </x:c>
    </x:row>
    <x:row r="319">
      <x:c r="A319" s="1" t="str">
        <x:v>PUB-0318</x:v>
      </x:c>
      <x:c r="B319" s="5" t="n">
        <x:v>46161</x:v>
      </x:c>
      <x:c r="C319" s="5" t="n">
        <x:v>46172</x:v>
      </x:c>
      <x:c r="D319" s="5" t="n">
        <x:v>46165</x:v>
      </x:c>
      <x:c r="E319" s="1" t="str">
        <x:v>Digital Learning</x:v>
      </x:c>
      <x:c r="F319" s="1" t="str">
        <x:v>Workbook</x:v>
      </x:c>
      <x:c r="G319" s="1" t="str">
        <x:v>Medium</x:v>
      </x:c>
      <x:c r="H319" s="1" t="str">
        <x:v>AI-Assisted</x:v>
      </x:c>
      <x:c r="I319" s="1" t="str">
        <x:v>Few-shot v2</x:v>
      </x:c>
      <x:c r="J319" s="1" t="n">
        <x:v>82</x:v>
      </x:c>
      <x:c r="K319" s="6" t="n">
        <x:v>26.8</x:v>
      </x:c>
      <x:c r="L319" s="6" t="n">
        <x:v>43.9</x:v>
      </x:c>
      <x:c r="M319" s="6" t="n">
        <x:v>17.1</x:v>
      </x:c>
      <x:c r="N319" s="6" t="n">
        <x:v>19946.85</x:v>
      </x:c>
      <x:c r="O319" s="6" t="n">
        <x:v>32669.43</x:v>
      </x:c>
      <x:c r="P319" s="6" t="n">
        <x:v>12722.58</x:v>
      </x:c>
      <x:c r="Q319" s="1" t="n">
        <x:v>0</x:v>
      </x:c>
      <x:c r="R319" s="1" t="str">
        <x:v>Yes</x:v>
      </x:c>
      <x:c r="S319" s="7" t="n">
        <x:v>84.9</x:v>
      </x:c>
      <x:c r="T319" s="1" t="str">
        <x:v>Yes</x:v>
      </x:c>
      <x:c r="U319" s="1" t="str">
        <x:v>Completed</x:v>
      </x:c>
    </x:row>
    <x:row r="320">
      <x:c r="A320" s="1" t="str">
        <x:v>PUB-0319</x:v>
      </x:c>
      <x:c r="B320" s="5" t="n">
        <x:v>46057</x:v>
      </x:c>
      <x:c r="C320" s="5" t="n">
        <x:v>46079</x:v>
      </x:c>
      <x:c r="D320" s="5" t="n">
        <x:v>46068</x:v>
      </x:c>
      <x:c r="E320" s="1" t="str">
        <x:v>Digital Learning</x:v>
      </x:c>
      <x:c r="F320" s="1" t="str">
        <x:v>School Textbook</x:v>
      </x:c>
      <x:c r="G320" s="1" t="str">
        <x:v>High</x:v>
      </x:c>
      <x:c r="H320" s="1" t="str">
        <x:v>AI-Assisted</x:v>
      </x:c>
      <x:c r="I320" s="1" t="str">
        <x:v>Editorial QA</x:v>
      </x:c>
      <x:c r="J320" s="1" t="n">
        <x:v>140</x:v>
      </x:c>
      <x:c r="K320" s="6" t="n">
        <x:v>69.8</x:v>
      </x:c>
      <x:c r="L320" s="6" t="n">
        <x:v>103.5</x:v>
      </x:c>
      <x:c r="M320" s="6" t="n">
        <x:v>33.7</x:v>
      </x:c>
      <x:c r="N320" s="6" t="n">
        <x:v>69263.95</x:v>
      </x:c>
      <x:c r="O320" s="6" t="n">
        <x:v>102728.06</x:v>
      </x:c>
      <x:c r="P320" s="6" t="n">
        <x:v>33464.11</x:v>
      </x:c>
      <x:c r="Q320" s="1" t="n">
        <x:v>2</x:v>
      </x:c>
      <x:c r="R320" s="1" t="str">
        <x:v>No</x:v>
      </x:c>
      <x:c r="S320" s="7" t="n">
        <x:v>87.9</x:v>
      </x:c>
      <x:c r="T320" s="1" t="str">
        <x:v>Yes</x:v>
      </x:c>
      <x:c r="U320" s="1" t="str">
        <x:v>Completed</x:v>
      </x:c>
    </x:row>
    <x:row r="321">
      <x:c r="A321" s="1" t="str">
        <x:v>PUB-0320</x:v>
      </x:c>
      <x:c r="B321" s="5" t="n">
        <x:v>45954</x:v>
      </x:c>
      <x:c r="C321" s="5" t="n">
        <x:v>45961</x:v>
      </x:c>
      <x:c r="D321" s="5" t="n">
        <x:v>45957</x:v>
      </x:c>
      <x:c r="E321" s="1" t="str">
        <x:v>Editorial</x:v>
      </x:c>
      <x:c r="F321" s="1" t="str">
        <x:v>Workbook</x:v>
      </x:c>
      <x:c r="G321" s="1" t="str">
        <x:v>Low</x:v>
      </x:c>
      <x:c r="H321" s="1" t="str">
        <x:v>AI-Assisted</x:v>
      </x:c>
      <x:c r="I321" s="1" t="str">
        <x:v>Editorial QA</x:v>
      </x:c>
      <x:c r="J321" s="1" t="n">
        <x:v>133</x:v>
      </x:c>
      <x:c r="K321" s="6" t="n">
        <x:v>19.5</x:v>
      </x:c>
      <x:c r="L321" s="6" t="n">
        <x:v>39.7</x:v>
      </x:c>
      <x:c r="M321" s="6" t="n">
        <x:v>20.2</x:v>
      </x:c>
      <x:c r="N321" s="6" t="n">
        <x:v>17890.96</x:v>
      </x:c>
      <x:c r="O321" s="6" t="n">
        <x:v>36448.9</x:v>
      </x:c>
      <x:c r="P321" s="6" t="n">
        <x:v>18557.94</x:v>
      </x:c>
      <x:c r="Q321" s="1" t="n">
        <x:v>0</x:v>
      </x:c>
      <x:c r="R321" s="1" t="str">
        <x:v>Yes</x:v>
      </x:c>
      <x:c r="S321" s="7" t="n">
        <x:v>83.7</x:v>
      </x:c>
      <x:c r="T321" s="1" t="str">
        <x:v>Yes</x:v>
      </x:c>
      <x:c r="U321" s="1" t="str">
        <x:v>Completed</x:v>
      </x:c>
    </x:row>
    <x:row r="322">
      <x:c r="A322" s="1" t="str">
        <x:v>PUB-0321</x:v>
      </x:c>
      <x:c r="B322" s="5" t="n">
        <x:v>46106</x:v>
      </x:c>
      <x:c r="C322" s="5" t="n">
        <x:v>46121</x:v>
      </x:c>
      <x:c r="D322" s="5" t="n">
        <x:v>46110</x:v>
      </x:c>
      <x:c r="E322" s="1" t="str">
        <x:v>Production</x:v>
      </x:c>
      <x:c r="F322" s="1" t="str">
        <x:v>School Textbook</x:v>
      </x:c>
      <x:c r="G322" s="1" t="str">
        <x:v>Medium</x:v>
      </x:c>
      <x:c r="H322" s="1" t="str">
        <x:v>AI-Assisted</x:v>
      </x:c>
      <x:c r="I322" s="1" t="str">
        <x:v>Few-shot v2</x:v>
      </x:c>
      <x:c r="J322" s="1" t="n">
        <x:v>95</x:v>
      </x:c>
      <x:c r="K322" s="6" t="n">
        <x:v>30.4</x:v>
      </x:c>
      <x:c r="L322" s="6" t="n">
        <x:v>50.6</x:v>
      </x:c>
      <x:c r="M322" s="6" t="n">
        <x:v>20.2</x:v>
      </x:c>
      <x:c r="N322" s="6" t="n">
        <x:v>25405.24</x:v>
      </x:c>
      <x:c r="O322" s="6" t="n">
        <x:v>42304.45</x:v>
      </x:c>
      <x:c r="P322" s="6" t="n">
        <x:v>16899.21</x:v>
      </x:c>
      <x:c r="Q322" s="1" t="n">
        <x:v>0</x:v>
      </x:c>
      <x:c r="R322" s="1" t="str">
        <x:v>Yes</x:v>
      </x:c>
      <x:c r="S322" s="7" t="n">
        <x:v>91.2</x:v>
      </x:c>
      <x:c r="T322" s="1" t="str">
        <x:v>Yes</x:v>
      </x:c>
      <x:c r="U322" s="1" t="str">
        <x:v>Completed</x:v>
      </x:c>
    </x:row>
    <x:row r="323">
      <x:c r="A323" s="1" t="str">
        <x:v>PUB-0322</x:v>
      </x:c>
      <x:c r="B323" s="5" t="n">
        <x:v>46059</x:v>
      </x:c>
      <x:c r="C323" s="5" t="n">
        <x:v>46074</x:v>
      </x:c>
      <x:c r="D323" s="5" t="n">
        <x:v>46066</x:v>
      </x:c>
      <x:c r="E323" s="1" t="str">
        <x:v>Editorial</x:v>
      </x:c>
      <x:c r="F323" s="1" t="str">
        <x:v>Workbook</x:v>
      </x:c>
      <x:c r="G323" s="1" t="str">
        <x:v>Medium</x:v>
      </x:c>
      <x:c r="H323" s="1" t="str">
        <x:v>AI-Assisted</x:v>
      </x:c>
      <x:c r="I323" s="1" t="str">
        <x:v>Visual Brief</x:v>
      </x:c>
      <x:c r="J323" s="1" t="n">
        <x:v>217</x:v>
      </x:c>
      <x:c r="K323" s="6" t="n">
        <x:v>56.2</x:v>
      </x:c>
      <x:c r="L323" s="6" t="n">
        <x:v>78.7</x:v>
      </x:c>
      <x:c r="M323" s="6" t="n">
        <x:v>22.5</x:v>
      </x:c>
      <x:c r="N323" s="6" t="n">
        <x:v>56612.58</x:v>
      </x:c>
      <x:c r="O323" s="6" t="n">
        <x:v>79300.18</x:v>
      </x:c>
      <x:c r="P323" s="6" t="n">
        <x:v>22687.6</x:v>
      </x:c>
      <x:c r="Q323" s="1" t="n">
        <x:v>0</x:v>
      </x:c>
      <x:c r="R323" s="1" t="str">
        <x:v>Yes</x:v>
      </x:c>
      <x:c r="S323" s="7" t="n">
        <x:v>89.4</x:v>
      </x:c>
      <x:c r="T323" s="1" t="str">
        <x:v>Yes</x:v>
      </x:c>
      <x:c r="U323" s="1" t="str">
        <x:v>Completed</x:v>
      </x:c>
    </x:row>
    <x:row r="324">
      <x:c r="A324" s="1" t="str">
        <x:v>PUB-0323</x:v>
      </x:c>
      <x:c r="B324" s="5" t="n">
        <x:v>45692</x:v>
      </x:c>
      <x:c r="C324" s="5" t="n">
        <x:v>45700</x:v>
      </x:c>
      <x:c r="D324" s="5" t="n">
        <x:v>45693</x:v>
      </x:c>
      <x:c r="E324" s="1" t="str">
        <x:v>Editorial</x:v>
      </x:c>
      <x:c r="F324" s="1" t="str">
        <x:v>Illustration</x:v>
      </x:c>
      <x:c r="G324" s="1" t="str">
        <x:v>Medium</x:v>
      </x:c>
      <x:c r="H324" s="1" t="str">
        <x:v>AI-Assisted</x:v>
      </x:c>
      <x:c r="I324" s="1" t="str">
        <x:v>Editorial QA</x:v>
      </x:c>
      <x:c r="J324" s="1" t="n">
        <x:v>30</x:v>
      </x:c>
      <x:c r="K324" s="6" t="n">
        <x:v>8.5</x:v>
      </x:c>
      <x:c r="L324" s="6" t="n">
        <x:v>15.3</x:v>
      </x:c>
      <x:c r="M324" s="6" t="n">
        <x:v>6.8</x:v>
      </x:c>
      <x:c r="N324" s="6" t="n">
        <x:v>6898.02</x:v>
      </x:c>
      <x:c r="O324" s="6" t="n">
        <x:v>12414.42</x:v>
      </x:c>
      <x:c r="P324" s="6" t="n">
        <x:v>5516.4</x:v>
      </x:c>
      <x:c r="Q324" s="1" t="n">
        <x:v>0</x:v>
      </x:c>
      <x:c r="R324" s="1" t="str">
        <x:v>Yes</x:v>
      </x:c>
      <x:c r="S324" s="7" t="n">
        <x:v>99</x:v>
      </x:c>
      <x:c r="T324" s="1" t="str">
        <x:v>Yes</x:v>
      </x:c>
      <x:c r="U324" s="1" t="str">
        <x:v>Completed</x:v>
      </x:c>
    </x:row>
    <x:row r="325">
      <x:c r="A325" s="1" t="str">
        <x:v>PUB-0324</x:v>
      </x:c>
      <x:c r="B325" s="5" t="n">
        <x:v>45963</x:v>
      </x:c>
      <x:c r="C325" s="5" t="n">
        <x:v>45974</x:v>
      </x:c>
      <x:c r="D325" s="5" t="n">
        <x:v>45967</x:v>
      </x:c>
      <x:c r="E325" s="1" t="str">
        <x:v>Editorial</x:v>
      </x:c>
      <x:c r="F325" s="1" t="str">
        <x:v>E-book</x:v>
      </x:c>
      <x:c r="G325" s="1" t="str">
        <x:v>High</x:v>
      </x:c>
      <x:c r="H325" s="1" t="str">
        <x:v>Manual</x:v>
      </x:c>
      <x:c r="I325" s="1" t="str">
        <x:v>Manual / NA</x:v>
      </x:c>
      <x:c r="J325" s="1" t="n">
        <x:v>63</x:v>
      </x:c>
      <x:c r="K325" s="6" t="n">
        <x:v>33.1</x:v>
      </x:c>
      <x:c r="L325" s="6" t="n">
        <x:v>34.3</x:v>
      </x:c>
      <x:c r="M325" s="6" t="n">
        <x:v>1.2</x:v>
      </x:c>
      <x:c r="N325" s="6" t="n">
        <x:v>21764.37</x:v>
      </x:c>
      <x:c r="O325" s="6" t="n">
        <x:v>22523.59</x:v>
      </x:c>
      <x:c r="P325" s="6" t="n">
        <x:v>759.22</x:v>
      </x:c>
      <x:c r="Q325" s="1" t="n">
        <x:v>0</x:v>
      </x:c>
      <x:c r="R325" s="1" t="str">
        <x:v>Yes</x:v>
      </x:c>
      <x:c r="S325" s="7" t="n">
        <x:v>88.4</x:v>
      </x:c>
      <x:c r="T325" s="1" t="str">
        <x:v>Yes</x:v>
      </x:c>
      <x:c r="U325" s="1" t="str">
        <x:v>Completed</x:v>
      </x:c>
    </x:row>
    <x:row r="326">
      <x:c r="A326" s="1" t="str">
        <x:v>PUB-0325</x:v>
      </x:c>
      <x:c r="B326" s="5" t="n">
        <x:v>45906</x:v>
      </x:c>
      <x:c r="C326" s="5" t="n">
        <x:v>45921</x:v>
      </x:c>
      <x:c r="D326" s="5" t="n">
        <x:v>45913</x:v>
      </x:c>
      <x:c r="E326" s="1" t="str">
        <x:v>Editorial</x:v>
      </x:c>
      <x:c r="F326" s="1" t="str">
        <x:v>School Textbook</x:v>
      </x:c>
      <x:c r="G326" s="1" t="str">
        <x:v>Medium</x:v>
      </x:c>
      <x:c r="H326" s="1" t="str">
        <x:v>Manual</x:v>
      </x:c>
      <x:c r="I326" s="1" t="str">
        <x:v>Manual / NA</x:v>
      </x:c>
      <x:c r="J326" s="1" t="n">
        <x:v>129</x:v>
      </x:c>
      <x:c r="K326" s="6" t="n">
        <x:v>52.6</x:v>
      </x:c>
      <x:c r="L326" s="6" t="n">
        <x:v>50.8</x:v>
      </x:c>
      <x:c r="M326" s="6" t="n">
        <x:v>0</x:v>
      </x:c>
      <x:c r="N326" s="6" t="n">
        <x:v>40731.4</x:v>
      </x:c>
      <x:c r="O326" s="6" t="n">
        <x:v>39367.49</x:v>
      </x:c>
      <x:c r="P326" s="6" t="n">
        <x:v>0</x:v>
      </x:c>
      <x:c r="Q326" s="1" t="n">
        <x:v>0</x:v>
      </x:c>
      <x:c r="R326" s="1" t="str">
        <x:v>Yes</x:v>
      </x:c>
      <x:c r="S326" s="7" t="n">
        <x:v>83</x:v>
      </x:c>
      <x:c r="T326" s="1" t="str">
        <x:v>Yes</x:v>
      </x:c>
      <x:c r="U326" s="1" t="str">
        <x:v>Completed</x:v>
      </x:c>
    </x:row>
    <x:row r="327">
      <x:c r="A327" s="1" t="str">
        <x:v>PUB-0326</x:v>
      </x:c>
      <x:c r="B327" s="5" t="n">
        <x:v>46022</x:v>
      </x:c>
      <x:c r="C327" s="5" t="n">
        <x:v>46029</x:v>
      </x:c>
      <x:c r="D327" s="5" t="n">
        <x:v>46023</x:v>
      </x:c>
      <x:c r="E327" s="1" t="str">
        <x:v>Production</x:v>
      </x:c>
      <x:c r="F327" s="1" t="str">
        <x:v>Illustration</x:v>
      </x:c>
      <x:c r="G327" s="1" t="str">
        <x:v>Medium</x:v>
      </x:c>
      <x:c r="H327" s="1" t="str">
        <x:v>Manual</x:v>
      </x:c>
      <x:c r="I327" s="1" t="str">
        <x:v>Manual / NA</x:v>
      </x:c>
      <x:c r="J327" s="1" t="n">
        <x:v>20</x:v>
      </x:c>
      <x:c r="K327" s="6" t="n">
        <x:v>8.5</x:v>
      </x:c>
      <x:c r="L327" s="6" t="n">
        <x:v>8.6</x:v>
      </x:c>
      <x:c r="M327" s="6" t="n">
        <x:v>0.1</x:v>
      </x:c>
      <x:c r="N327" s="6" t="n">
        <x:v>8264.75</x:v>
      </x:c>
      <x:c r="O327" s="6" t="n">
        <x:v>8355.81</x:v>
      </x:c>
      <x:c r="P327" s="6" t="n">
        <x:v>91.06</x:v>
      </x:c>
      <x:c r="Q327" s="1" t="n">
        <x:v>0</x:v>
      </x:c>
      <x:c r="R327" s="1" t="str">
        <x:v>Yes</x:v>
      </x:c>
      <x:c r="S327" s="7" t="n">
        <x:v>80.4</x:v>
      </x:c>
      <x:c r="T327" s="1" t="str">
        <x:v>Yes</x:v>
      </x:c>
      <x:c r="U327" s="1" t="str">
        <x:v>Completed</x:v>
      </x:c>
    </x:row>
    <x:row r="328">
      <x:c r="A328" s="1" t="str">
        <x:v>PUB-0327</x:v>
      </x:c>
      <x:c r="B328" s="5" t="n">
        <x:v>46044</x:v>
      </x:c>
      <x:c r="C328" s="5" t="n">
        <x:v>46058</x:v>
      </x:c>
      <x:c r="D328" s="5" t="n">
        <x:v>46052</x:v>
      </x:c>
      <x:c r="E328" s="1" t="str">
        <x:v>Design</x:v>
      </x:c>
      <x:c r="F328" s="1" t="str">
        <x:v>School Textbook</x:v>
      </x:c>
      <x:c r="G328" s="1" t="str">
        <x:v>Medium</x:v>
      </x:c>
      <x:c r="H328" s="1" t="str">
        <x:v>Manual</x:v>
      </x:c>
      <x:c r="I328" s="1" t="str">
        <x:v>Manual / NA</x:v>
      </x:c>
      <x:c r="J328" s="1" t="n">
        <x:v>132</x:v>
      </x:c>
      <x:c r="K328" s="6" t="n">
        <x:v>63</x:v>
      </x:c>
      <x:c r="L328" s="6" t="n">
        <x:v>63.8</x:v>
      </x:c>
      <x:c r="M328" s="6" t="n">
        <x:v>0.8</x:v>
      </x:c>
      <x:c r="N328" s="6" t="n">
        <x:v>56387.9</x:v>
      </x:c>
      <x:c r="O328" s="6" t="n">
        <x:v>57062.83</x:v>
      </x:c>
      <x:c r="P328" s="6" t="n">
        <x:v>674.93</x:v>
      </x:c>
      <x:c r="Q328" s="1" t="n">
        <x:v>0</x:v>
      </x:c>
      <x:c r="R328" s="1" t="str">
        <x:v>Yes</x:v>
      </x:c>
      <x:c r="S328" s="7" t="n">
        <x:v>80.3</x:v>
      </x:c>
      <x:c r="T328" s="1" t="str">
        <x:v>Yes</x:v>
      </x:c>
      <x:c r="U328" s="1" t="str">
        <x:v>Completed</x:v>
      </x:c>
    </x:row>
    <x:row r="329">
      <x:c r="A329" s="1" t="str">
        <x:v>PUB-0328</x:v>
      </x:c>
      <x:c r="B329" s="5" t="n">
        <x:v>45822</x:v>
      </x:c>
      <x:c r="C329" s="5" t="n">
        <x:v>45835</x:v>
      </x:c>
      <x:c r="D329" s="5" t="n">
        <x:v>45826</x:v>
      </x:c>
      <x:c r="E329" s="1" t="str">
        <x:v>Editorial</x:v>
      </x:c>
      <x:c r="F329" s="1" t="str">
        <x:v>School Textbook</x:v>
      </x:c>
      <x:c r="G329" s="1" t="str">
        <x:v>Medium</x:v>
      </x:c>
      <x:c r="H329" s="1" t="str">
        <x:v>AI-Assisted</x:v>
      </x:c>
      <x:c r="I329" s="1" t="str">
        <x:v>Structured v3</x:v>
      </x:c>
      <x:c r="J329" s="1" t="n">
        <x:v>101</x:v>
      </x:c>
      <x:c r="K329" s="6" t="n">
        <x:v>32.2</x:v>
      </x:c>
      <x:c r="L329" s="6" t="n">
        <x:v>53.6</x:v>
      </x:c>
      <x:c r="M329" s="6" t="n">
        <x:v>21.4</x:v>
      </x:c>
      <x:c r="N329" s="6" t="n">
        <x:v>32741.89</x:v>
      </x:c>
      <x:c r="O329" s="6" t="n">
        <x:v>54502.94</x:v>
      </x:c>
      <x:c r="P329" s="6" t="n">
        <x:v>21761.05</x:v>
      </x:c>
      <x:c r="Q329" s="1" t="n">
        <x:v>0</x:v>
      </x:c>
      <x:c r="R329" s="1" t="str">
        <x:v>Yes</x:v>
      </x:c>
      <x:c r="S329" s="7" t="n">
        <x:v>87.7</x:v>
      </x:c>
      <x:c r="T329" s="1" t="str">
        <x:v>Yes</x:v>
      </x:c>
      <x:c r="U329" s="1" t="str">
        <x:v>Completed</x:v>
      </x:c>
    </x:row>
    <x:row r="330">
      <x:c r="A330" s="1" t="str">
        <x:v>PUB-0329</x:v>
      </x:c>
      <x:c r="B330" s="5" t="n">
        <x:v>45902</x:v>
      </x:c>
      <x:c r="C330" s="5" t="n">
        <x:v>45918</x:v>
      </x:c>
      <x:c r="D330" s="5" t="n">
        <x:v>45915</x:v>
      </x:c>
      <x:c r="E330" s="1" t="str">
        <x:v>Editorial</x:v>
      </x:c>
      <x:c r="F330" s="1" t="str">
        <x:v>School Textbook</x:v>
      </x:c>
      <x:c r="G330" s="1" t="str">
        <x:v>Medium</x:v>
      </x:c>
      <x:c r="H330" s="1" t="str">
        <x:v>Manual</x:v>
      </x:c>
      <x:c r="I330" s="1" t="str">
        <x:v>Manual / NA</x:v>
      </x:c>
      <x:c r="J330" s="1" t="n">
        <x:v>217</x:v>
      </x:c>
      <x:c r="K330" s="6" t="n">
        <x:v>101</x:v>
      </x:c>
      <x:c r="L330" s="6" t="n">
        <x:v>103.1</x:v>
      </x:c>
      <x:c r="M330" s="6" t="n">
        <x:v>2.1</x:v>
      </x:c>
      <x:c r="N330" s="6" t="n">
        <x:v>93499.12</x:v>
      </x:c>
      <x:c r="O330" s="6" t="n">
        <x:v>95479.35</x:v>
      </x:c>
      <x:c r="P330" s="6" t="n">
        <x:v>1980.23</x:v>
      </x:c>
      <x:c r="Q330" s="1" t="n">
        <x:v>0</x:v>
      </x:c>
      <x:c r="R330" s="1" t="str">
        <x:v>Yes</x:v>
      </x:c>
      <x:c r="S330" s="7" t="n">
        <x:v>81.5</x:v>
      </x:c>
      <x:c r="T330" s="1" t="str">
        <x:v>Yes</x:v>
      </x:c>
      <x:c r="U330" s="1" t="str">
        <x:v>Completed</x:v>
      </x:c>
    </x:row>
    <x:row r="331">
      <x:c r="A331" s="1" t="str">
        <x:v>PUB-0330</x:v>
      </x:c>
      <x:c r="B331" s="5" t="n">
        <x:v>45726</x:v>
      </x:c>
      <x:c r="C331" s="5" t="n">
        <x:v>45734</x:v>
      </x:c>
      <x:c r="D331" s="5" t="n">
        <x:v>45727</x:v>
      </x:c>
      <x:c r="E331" s="1" t="str">
        <x:v>Editorial</x:v>
      </x:c>
      <x:c r="F331" s="1" t="str">
        <x:v>E-book</x:v>
      </x:c>
      <x:c r="G331" s="1" t="str">
        <x:v>Medium</x:v>
      </x:c>
      <x:c r="H331" s="1" t="str">
        <x:v>AI-Assisted</x:v>
      </x:c>
      <x:c r="I331" s="1" t="str">
        <x:v>Structured v3</x:v>
      </x:c>
      <x:c r="J331" s="1" t="n">
        <x:v>35</x:v>
      </x:c>
      <x:c r="K331" s="6" t="n">
        <x:v>8.2</x:v>
      </x:c>
      <x:c r="L331" s="6" t="n">
        <x:v>13.4</x:v>
      </x:c>
      <x:c r="M331" s="6" t="n">
        <x:v>5.2</x:v>
      </x:c>
      <x:c r="N331" s="6" t="n">
        <x:v>8758.83</x:v>
      </x:c>
      <x:c r="O331" s="6" t="n">
        <x:v>14270.91</x:v>
      </x:c>
      <x:c r="P331" s="6" t="n">
        <x:v>5512.08</x:v>
      </x:c>
      <x:c r="Q331" s="1" t="n">
        <x:v>0</x:v>
      </x:c>
      <x:c r="R331" s="1" t="str">
        <x:v>Yes</x:v>
      </x:c>
      <x:c r="S331" s="7" t="n">
        <x:v>96.1</x:v>
      </x:c>
      <x:c r="T331" s="1" t="str">
        <x:v>Yes</x:v>
      </x:c>
      <x:c r="U331" s="1" t="str">
        <x:v>Completed</x:v>
      </x:c>
    </x:row>
    <x:row r="332">
      <x:c r="A332" s="1" t="str">
        <x:v>PUB-0331</x:v>
      </x:c>
      <x:c r="B332" s="5" t="n">
        <x:v>45920</x:v>
      </x:c>
      <x:c r="C332" s="5" t="n">
        <x:v>45930</x:v>
      </x:c>
      <x:c r="D332" s="5" t="n">
        <x:v>45923</x:v>
      </x:c>
      <x:c r="E332" s="1" t="str">
        <x:v>Editorial</x:v>
      </x:c>
      <x:c r="F332" s="1" t="str">
        <x:v>School Textbook</x:v>
      </x:c>
      <x:c r="G332" s="1" t="str">
        <x:v>Medium</x:v>
      </x:c>
      <x:c r="H332" s="1" t="str">
        <x:v>AI-Assisted</x:v>
      </x:c>
      <x:c r="I332" s="1" t="str">
        <x:v>Structured v3</x:v>
      </x:c>
      <x:c r="J332" s="1" t="n">
        <x:v>61</x:v>
      </x:c>
      <x:c r="K332" s="6" t="n">
        <x:v>23.4</x:v>
      </x:c>
      <x:c r="L332" s="6" t="n">
        <x:v>34.4</x:v>
      </x:c>
      <x:c r="M332" s="6" t="n">
        <x:v>11</x:v>
      </x:c>
      <x:c r="N332" s="6" t="n">
        <x:v>20686.29</x:v>
      </x:c>
      <x:c r="O332" s="6" t="n">
        <x:v>30427.57</x:v>
      </x:c>
      <x:c r="P332" s="6" t="n">
        <x:v>9741.28</x:v>
      </x:c>
      <x:c r="Q332" s="1" t="n">
        <x:v>0</x:v>
      </x:c>
      <x:c r="R332" s="1" t="str">
        <x:v>Yes</x:v>
      </x:c>
      <x:c r="S332" s="7" t="n">
        <x:v>83.2</x:v>
      </x:c>
      <x:c r="T332" s="1" t="str">
        <x:v>Yes</x:v>
      </x:c>
      <x:c r="U332" s="1" t="str">
        <x:v>Completed</x:v>
      </x:c>
    </x:row>
    <x:row r="333">
      <x:c r="A333" s="1" t="str">
        <x:v>PUB-0332</x:v>
      </x:c>
      <x:c r="B333" s="5" t="n">
        <x:v>45717</x:v>
      </x:c>
      <x:c r="C333" s="5" t="n">
        <x:v>45726</x:v>
      </x:c>
      <x:c r="D333" s="5" t="n">
        <x:v>45719</x:v>
      </x:c>
      <x:c r="E333" s="1" t="str">
        <x:v>Digital Learning</x:v>
      </x:c>
      <x:c r="F333" s="1" t="str">
        <x:v>Workbook</x:v>
      </x:c>
      <x:c r="G333" s="1" t="str">
        <x:v>Low</x:v>
      </x:c>
      <x:c r="H333" s="1" t="str">
        <x:v>AI-Assisted</x:v>
      </x:c>
      <x:c r="I333" s="1" t="str">
        <x:v>Structured v3</x:v>
      </x:c>
      <x:c r="J333" s="1" t="n">
        <x:v>85</x:v>
      </x:c>
      <x:c r="K333" s="6" t="n">
        <x:v>17.2</x:v>
      </x:c>
      <x:c r="L333" s="6" t="n">
        <x:v>28.4</x:v>
      </x:c>
      <x:c r="M333" s="6" t="n">
        <x:v>11.2</x:v>
      </x:c>
      <x:c r="N333" s="6" t="n">
        <x:v>12050.54</x:v>
      </x:c>
      <x:c r="O333" s="6" t="n">
        <x:v>19899.23</x:v>
      </x:c>
      <x:c r="P333" s="6" t="n">
        <x:v>7848.69</x:v>
      </x:c>
      <x:c r="Q333" s="1" t="n">
        <x:v>0</x:v>
      </x:c>
      <x:c r="R333" s="1" t="str">
        <x:v>Yes</x:v>
      </x:c>
      <x:c r="S333" s="7" t="n">
        <x:v>96</x:v>
      </x:c>
      <x:c r="T333" s="1" t="str">
        <x:v>Yes</x:v>
      </x:c>
      <x:c r="U333" s="1" t="str">
        <x:v>Completed</x:v>
      </x:c>
    </x:row>
    <x:row r="334">
      <x:c r="A334" s="1" t="str">
        <x:v>PUB-0333</x:v>
      </x:c>
      <x:c r="B334" s="5" t="n">
        <x:v>45912</x:v>
      </x:c>
      <x:c r="C334" s="5" t="n">
        <x:v>45926</x:v>
      </x:c>
      <x:c r="D334" s="5" t="n">
        <x:v>45918</x:v>
      </x:c>
      <x:c r="E334" s="1" t="str">
        <x:v>Production</x:v>
      </x:c>
      <x:c r="F334" s="1" t="str">
        <x:v>E-book</x:v>
      </x:c>
      <x:c r="G334" s="1" t="str">
        <x:v>Low</x:v>
      </x:c>
      <x:c r="H334" s="1" t="str">
        <x:v>AI-Assisted</x:v>
      </x:c>
      <x:c r="I334" s="1" t="str">
        <x:v>Few-shot v2</x:v>
      </x:c>
      <x:c r="J334" s="1" t="n">
        <x:v>199</x:v>
      </x:c>
      <x:c r="K334" s="6" t="n">
        <x:v>46.2</x:v>
      </x:c>
      <x:c r="L334" s="6" t="n">
        <x:v>81.7</x:v>
      </x:c>
      <x:c r="M334" s="6" t="n">
        <x:v>35.5</x:v>
      </x:c>
      <x:c r="N334" s="6" t="n">
        <x:v>40626.45</x:v>
      </x:c>
      <x:c r="O334" s="6" t="n">
        <x:v>71818.37</x:v>
      </x:c>
      <x:c r="P334" s="6" t="n">
        <x:v>31191.92</x:v>
      </x:c>
      <x:c r="Q334" s="1" t="n">
        <x:v>0</x:v>
      </x:c>
      <x:c r="R334" s="1" t="str">
        <x:v>Yes</x:v>
      </x:c>
      <x:c r="S334" s="7" t="n">
        <x:v>91.5</x:v>
      </x:c>
      <x:c r="T334" s="1" t="str">
        <x:v>Yes</x:v>
      </x:c>
      <x:c r="U334" s="1" t="str">
        <x:v>Completed</x:v>
      </x:c>
    </x:row>
    <x:row r="335">
      <x:c r="A335" s="1" t="str">
        <x:v>PUB-0334</x:v>
      </x:c>
      <x:c r="B335" s="5" t="n">
        <x:v>46003</x:v>
      </x:c>
      <x:c r="C335" s="5" t="n">
        <x:v>46014</x:v>
      </x:c>
      <x:c r="D335" s="5" t="n">
        <x:v>46005</x:v>
      </x:c>
      <x:c r="E335" s="1" t="str">
        <x:v>Production</x:v>
      </x:c>
      <x:c r="F335" s="1" t="str">
        <x:v>Assessment</x:v>
      </x:c>
      <x:c r="G335" s="1" t="str">
        <x:v>Medium</x:v>
      </x:c>
      <x:c r="H335" s="1" t="str">
        <x:v>AI-Assisted</x:v>
      </x:c>
      <x:c r="I335" s="1" t="str">
        <x:v>Visual Brief</x:v>
      </x:c>
      <x:c r="J335" s="1" t="n">
        <x:v>44</x:v>
      </x:c>
      <x:c r="K335" s="6" t="n">
        <x:v>17.4</x:v>
      </x:c>
      <x:c r="L335" s="6" t="n">
        <x:v>25.5</x:v>
      </x:c>
      <x:c r="M335" s="6" t="n">
        <x:v>8.1</x:v>
      </x:c>
      <x:c r="N335" s="6" t="n">
        <x:v>14897.39</x:v>
      </x:c>
      <x:c r="O335" s="6" t="n">
        <x:v>21823.4</x:v>
      </x:c>
      <x:c r="P335" s="6" t="n">
        <x:v>6926.01</x:v>
      </x:c>
      <x:c r="Q335" s="1" t="n">
        <x:v>0</x:v>
      </x:c>
      <x:c r="R335" s="1" t="str">
        <x:v>Yes</x:v>
      </x:c>
      <x:c r="S335" s="7" t="n">
        <x:v>86.8</x:v>
      </x:c>
      <x:c r="T335" s="1" t="str">
        <x:v>Yes</x:v>
      </x:c>
      <x:c r="U335" s="1" t="str">
        <x:v>Completed</x:v>
      </x:c>
    </x:row>
    <x:row r="336">
      <x:c r="A336" s="1" t="str">
        <x:v>PUB-0335</x:v>
      </x:c>
      <x:c r="B336" s="5" t="n">
        <x:v>45904</x:v>
      </x:c>
      <x:c r="C336" s="5" t="n">
        <x:v>45922</x:v>
      </x:c>
      <x:c r="D336" s="5" t="str"/>
      <x:c r="E336" s="1" t="str">
        <x:v>Design</x:v>
      </x:c>
      <x:c r="F336" s="1" t="str">
        <x:v>School Textbook</x:v>
      </x:c>
      <x:c r="G336" s="1" t="str">
        <x:v>Low</x:v>
      </x:c>
      <x:c r="H336" s="1" t="str">
        <x:v>Manual</x:v>
      </x:c>
      <x:c r="I336" s="1" t="str">
        <x:v>Manual / NA</x:v>
      </x:c>
      <x:c r="J336" s="1" t="n">
        <x:v>198</x:v>
      </x:c>
      <x:c r="K336" s="6" t="n">
        <x:v>90</x:v>
      </x:c>
      <x:c r="L336" s="6" t="n">
        <x:v>92.8</x:v>
      </x:c>
      <x:c r="M336" s="6" t="n">
        <x:v>2.8</x:v>
      </x:c>
      <x:c r="N336" s="6" t="n">
        <x:v>76369.08</x:v>
      </x:c>
      <x:c r="O336" s="6" t="n">
        <x:v>78744.18</x:v>
      </x:c>
      <x:c r="P336" s="6" t="n">
        <x:v>2375.1</x:v>
      </x:c>
      <x:c r="Q336" s="1" t="n">
        <x:v>0</x:v>
      </x:c>
      <x:c r="R336" s="1" t="str"/>
      <x:c r="S336" s="7" t="n">
        <x:v>92.4</x:v>
      </x:c>
      <x:c r="T336" s="1" t="str"/>
      <x:c r="U336" s="1" t="str">
        <x:v>In Progress</x:v>
      </x:c>
    </x:row>
    <x:row r="337">
      <x:c r="A337" s="1" t="str">
        <x:v>PUB-0336</x:v>
      </x:c>
      <x:c r="B337" s="5" t="n">
        <x:v>45967</x:v>
      </x:c>
      <x:c r="C337" s="5" t="n">
        <x:v>45991</x:v>
      </x:c>
      <x:c r="D337" s="5" t="n">
        <x:v>45977</x:v>
      </x:c>
      <x:c r="E337" s="1" t="str">
        <x:v>Editorial</x:v>
      </x:c>
      <x:c r="F337" s="1" t="str">
        <x:v>E-book</x:v>
      </x:c>
      <x:c r="G337" s="1" t="str">
        <x:v>High</x:v>
      </x:c>
      <x:c r="H337" s="1" t="str">
        <x:v>AI-Assisted</x:v>
      </x:c>
      <x:c r="I337" s="1" t="str">
        <x:v>Structured v3</x:v>
      </x:c>
      <x:c r="J337" s="1" t="n">
        <x:v>205</x:v>
      </x:c>
      <x:c r="K337" s="6" t="n">
        <x:v>75.6</x:v>
      </x:c>
      <x:c r="L337" s="6" t="n">
        <x:v>138.5</x:v>
      </x:c>
      <x:c r="M337" s="6" t="n">
        <x:v>62.9</x:v>
      </x:c>
      <x:c r="N337" s="6" t="n">
        <x:v>70068.47</x:v>
      </x:c>
      <x:c r="O337" s="6" t="n">
        <x:v>128344.27</x:v>
      </x:c>
      <x:c r="P337" s="6" t="n">
        <x:v>58275.8</x:v>
      </x:c>
      <x:c r="Q337" s="1" t="n">
        <x:v>0</x:v>
      </x:c>
      <x:c r="R337" s="1" t="str">
        <x:v>Yes</x:v>
      </x:c>
      <x:c r="S337" s="7" t="n">
        <x:v>88.2</x:v>
      </x:c>
      <x:c r="T337" s="1" t="str">
        <x:v>Yes</x:v>
      </x:c>
      <x:c r="U337" s="1" t="str">
        <x:v>Completed</x:v>
      </x:c>
    </x:row>
    <x:row r="338">
      <x:c r="A338" s="1" t="str">
        <x:v>PUB-0337</x:v>
      </x:c>
      <x:c r="B338" s="5" t="n">
        <x:v>46129</x:v>
      </x:c>
      <x:c r="C338" s="5" t="n">
        <x:v>46137</x:v>
      </x:c>
      <x:c r="D338" s="5" t="n">
        <x:v>46131</x:v>
      </x:c>
      <x:c r="E338" s="1" t="str">
        <x:v>Design</x:v>
      </x:c>
      <x:c r="F338" s="1" t="str">
        <x:v>School Textbook</x:v>
      </x:c>
      <x:c r="G338" s="1" t="str">
        <x:v>Low</x:v>
      </x:c>
      <x:c r="H338" s="1" t="str">
        <x:v>AI-Assisted</x:v>
      </x:c>
      <x:c r="I338" s="1" t="str">
        <x:v>Editorial QA</x:v>
      </x:c>
      <x:c r="J338" s="1" t="n">
        <x:v>67</x:v>
      </x:c>
      <x:c r="K338" s="6" t="n">
        <x:v>14.4</x:v>
      </x:c>
      <x:c r="L338" s="6" t="n">
        <x:v>23.4</x:v>
      </x:c>
      <x:c r="M338" s="6" t="n">
        <x:v>9</x:v>
      </x:c>
      <x:c r="N338" s="6" t="n">
        <x:v>13457.27</x:v>
      </x:c>
      <x:c r="O338" s="6" t="n">
        <x:v>21875.63</x:v>
      </x:c>
      <x:c r="P338" s="6" t="n">
        <x:v>8418.36</x:v>
      </x:c>
      <x:c r="Q338" s="1" t="n">
        <x:v>0</x:v>
      </x:c>
      <x:c r="R338" s="1" t="str">
        <x:v>Yes</x:v>
      </x:c>
      <x:c r="S338" s="7" t="n">
        <x:v>93.3</x:v>
      </x:c>
      <x:c r="T338" s="1" t="str">
        <x:v>Yes</x:v>
      </x:c>
      <x:c r="U338" s="1" t="str">
        <x:v>Completed</x:v>
      </x:c>
    </x:row>
    <x:row r="339">
      <x:c r="A339" s="1" t="str">
        <x:v>PUB-0338</x:v>
      </x:c>
      <x:c r="B339" s="5" t="n">
        <x:v>45755</x:v>
      </x:c>
      <x:c r="C339" s="5" t="n">
        <x:v>45771</x:v>
      </x:c>
      <x:c r="D339" s="5" t="str"/>
      <x:c r="E339" s="1" t="str">
        <x:v>Production</x:v>
      </x:c>
      <x:c r="F339" s="1" t="str">
        <x:v>Workbook</x:v>
      </x:c>
      <x:c r="G339" s="1" t="str">
        <x:v>Medium</x:v>
      </x:c>
      <x:c r="H339" s="1" t="str">
        <x:v>Manual</x:v>
      </x:c>
      <x:c r="I339" s="1" t="str">
        <x:v>Manual / NA</x:v>
      </x:c>
      <x:c r="J339" s="1" t="n">
        <x:v>155</x:v>
      </x:c>
      <x:c r="K339" s="6" t="n">
        <x:v>87.7</x:v>
      </x:c>
      <x:c r="L339" s="6" t="n">
        <x:v>82.4</x:v>
      </x:c>
      <x:c r="M339" s="6" t="n">
        <x:v>0</x:v>
      </x:c>
      <x:c r="N339" s="6" t="n">
        <x:v>71667.99</x:v>
      </x:c>
      <x:c r="O339" s="6" t="n">
        <x:v>67338.62</x:v>
      </x:c>
      <x:c r="P339" s="6" t="n">
        <x:v>0</x:v>
      </x:c>
      <x:c r="Q339" s="1" t="n">
        <x:v>0</x:v>
      </x:c>
      <x:c r="R339" s="1" t="str"/>
      <x:c r="S339" s="7" t="n">
        <x:v>87.3</x:v>
      </x:c>
      <x:c r="T339" s="1" t="str"/>
      <x:c r="U339" s="1" t="str">
        <x:v>In Review</x:v>
      </x:c>
    </x:row>
    <x:row r="340">
      <x:c r="A340" s="1" t="str">
        <x:v>PUB-0339</x:v>
      </x:c>
      <x:c r="B340" s="5" t="n">
        <x:v>45781</x:v>
      </x:c>
      <x:c r="C340" s="5" t="n">
        <x:v>45790</x:v>
      </x:c>
      <x:c r="D340" s="5" t="n">
        <x:v>45782</x:v>
      </x:c>
      <x:c r="E340" s="1" t="str">
        <x:v>Digital Learning</x:v>
      </x:c>
      <x:c r="F340" s="1" t="str">
        <x:v>School Textbook</x:v>
      </x:c>
      <x:c r="G340" s="1" t="str">
        <x:v>Medium</x:v>
      </x:c>
      <x:c r="H340" s="1" t="str">
        <x:v>AI-Assisted</x:v>
      </x:c>
      <x:c r="I340" s="1" t="str">
        <x:v>Editorial QA</x:v>
      </x:c>
      <x:c r="J340" s="1" t="n">
        <x:v>10</x:v>
      </x:c>
      <x:c r="K340" s="6" t="n">
        <x:v>2.5</x:v>
      </x:c>
      <x:c r="L340" s="6" t="n">
        <x:v>5</x:v>
      </x:c>
      <x:c r="M340" s="6" t="n">
        <x:v>2.5</x:v>
      </x:c>
      <x:c r="N340" s="6" t="n">
        <x:v>2280.48</x:v>
      </x:c>
      <x:c r="O340" s="6" t="n">
        <x:v>4552.59</x:v>
      </x:c>
      <x:c r="P340" s="6" t="n">
        <x:v>2272.11</x:v>
      </x:c>
      <x:c r="Q340" s="1" t="n">
        <x:v>0</x:v>
      </x:c>
      <x:c r="R340" s="1" t="str">
        <x:v>Yes</x:v>
      </x:c>
      <x:c r="S340" s="7" t="n">
        <x:v>84.5</x:v>
      </x:c>
      <x:c r="T340" s="1" t="str">
        <x:v>Yes</x:v>
      </x:c>
      <x:c r="U340" s="1" t="str">
        <x:v>Completed</x:v>
      </x:c>
    </x:row>
    <x:row r="341">
      <x:c r="A341" s="1" t="str">
        <x:v>PUB-0340</x:v>
      </x:c>
      <x:c r="B341" s="5" t="n">
        <x:v>46060</x:v>
      </x:c>
      <x:c r="C341" s="5" t="n">
        <x:v>46066</x:v>
      </x:c>
      <x:c r="D341" s="5" t="n">
        <x:v>46062</x:v>
      </x:c>
      <x:c r="E341" s="1" t="str">
        <x:v>Digital Learning</x:v>
      </x:c>
      <x:c r="F341" s="1" t="str">
        <x:v>Illustration</x:v>
      </x:c>
      <x:c r="G341" s="1" t="str">
        <x:v>Medium</x:v>
      </x:c>
      <x:c r="H341" s="1" t="str">
        <x:v>AI-Assisted</x:v>
      </x:c>
      <x:c r="I341" s="1" t="str">
        <x:v>Structured v3</x:v>
      </x:c>
      <x:c r="J341" s="1" t="n">
        <x:v>59</x:v>
      </x:c>
      <x:c r="K341" s="6" t="n">
        <x:v>13.5</x:v>
      </x:c>
      <x:c r="L341" s="6" t="n">
        <x:v>26.4</x:v>
      </x:c>
      <x:c r="M341" s="6" t="n">
        <x:v>12.9</x:v>
      </x:c>
      <x:c r="N341" s="6" t="n">
        <x:v>9332.18</x:v>
      </x:c>
      <x:c r="O341" s="6" t="n">
        <x:v>18220.77</x:v>
      </x:c>
      <x:c r="P341" s="6" t="n">
        <x:v>8888.59</x:v>
      </x:c>
      <x:c r="Q341" s="1" t="n">
        <x:v>0</x:v>
      </x:c>
      <x:c r="R341" s="1" t="str">
        <x:v>Yes</x:v>
      </x:c>
      <x:c r="S341" s="7" t="n">
        <x:v>87.1</x:v>
      </x:c>
      <x:c r="T341" s="1" t="str">
        <x:v>Yes</x:v>
      </x:c>
      <x:c r="U341" s="1" t="str">
        <x:v>Completed</x:v>
      </x:c>
    </x:row>
    <x:row r="342">
      <x:c r="A342" s="1" t="str">
        <x:v>PUB-0341</x:v>
      </x:c>
      <x:c r="B342" s="5" t="n">
        <x:v>45745</x:v>
      </x:c>
      <x:c r="C342" s="5" t="n">
        <x:v>45755</x:v>
      </x:c>
      <x:c r="D342" s="5" t="n">
        <x:v>45750</x:v>
      </x:c>
      <x:c r="E342" s="1" t="str">
        <x:v>Design</x:v>
      </x:c>
      <x:c r="F342" s="1" t="str">
        <x:v>Workbook</x:v>
      </x:c>
      <x:c r="G342" s="1" t="str">
        <x:v>Medium</x:v>
      </x:c>
      <x:c r="H342" s="1" t="str">
        <x:v>AI-Assisted</x:v>
      </x:c>
      <x:c r="I342" s="1" t="str">
        <x:v>Editorial QA</x:v>
      </x:c>
      <x:c r="J342" s="1" t="n">
        <x:v>131</x:v>
      </x:c>
      <x:c r="K342" s="6" t="n">
        <x:v>39</x:v>
      </x:c>
      <x:c r="L342" s="6" t="n">
        <x:v>61.2</x:v>
      </x:c>
      <x:c r="M342" s="6" t="n">
        <x:v>22.2</x:v>
      </x:c>
      <x:c r="N342" s="6" t="n">
        <x:v>29173.94</x:v>
      </x:c>
      <x:c r="O342" s="6" t="n">
        <x:v>45795.72</x:v>
      </x:c>
      <x:c r="P342" s="6" t="n">
        <x:v>16621.78</x:v>
      </x:c>
      <x:c r="Q342" s="1" t="n">
        <x:v>0</x:v>
      </x:c>
      <x:c r="R342" s="1" t="str">
        <x:v>Yes</x:v>
      </x:c>
      <x:c r="S342" s="7" t="n">
        <x:v>88.6</x:v>
      </x:c>
      <x:c r="T342" s="1" t="str">
        <x:v>Yes</x:v>
      </x:c>
      <x:c r="U342" s="1" t="str">
        <x:v>Completed</x:v>
      </x:c>
    </x:row>
    <x:row r="343">
      <x:c r="A343" s="1" t="str">
        <x:v>PUB-0342</x:v>
      </x:c>
      <x:c r="B343" s="5" t="n">
        <x:v>45989</x:v>
      </x:c>
      <x:c r="C343" s="5" t="n">
        <x:v>45996</x:v>
      </x:c>
      <x:c r="D343" s="5" t="n">
        <x:v>45991</x:v>
      </x:c>
      <x:c r="E343" s="1" t="str">
        <x:v>Production</x:v>
      </x:c>
      <x:c r="F343" s="1" t="str">
        <x:v>Assessment</x:v>
      </x:c>
      <x:c r="G343" s="1" t="str">
        <x:v>Medium</x:v>
      </x:c>
      <x:c r="H343" s="1" t="str">
        <x:v>AI-Assisted</x:v>
      </x:c>
      <x:c r="I343" s="1" t="str">
        <x:v>Few-shot v2</x:v>
      </x:c>
      <x:c r="J343" s="1" t="n">
        <x:v>50</x:v>
      </x:c>
      <x:c r="K343" s="6" t="n">
        <x:v>13.4</x:v>
      </x:c>
      <x:c r="L343" s="6" t="n">
        <x:v>21.5</x:v>
      </x:c>
      <x:c r="M343" s="6" t="n">
        <x:v>8.1</x:v>
      </x:c>
      <x:c r="N343" s="6" t="n">
        <x:v>8872.19</x:v>
      </x:c>
      <x:c r="O343" s="6" t="n">
        <x:v>14253.84</x:v>
      </x:c>
      <x:c r="P343" s="6" t="n">
        <x:v>5381.65</x:v>
      </x:c>
      <x:c r="Q343" s="1" t="n">
        <x:v>0</x:v>
      </x:c>
      <x:c r="R343" s="1" t="str">
        <x:v>Yes</x:v>
      </x:c>
      <x:c r="S343" s="7" t="n">
        <x:v>84.9</x:v>
      </x:c>
      <x:c r="T343" s="1" t="str">
        <x:v>Yes</x:v>
      </x:c>
      <x:c r="U343" s="1" t="str">
        <x:v>Completed</x:v>
      </x:c>
    </x:row>
    <x:row r="344">
      <x:c r="A344" s="1" t="str">
        <x:v>PUB-0343</x:v>
      </x:c>
      <x:c r="B344" s="5" t="n">
        <x:v>46110</x:v>
      </x:c>
      <x:c r="C344" s="5" t="n">
        <x:v>46121</x:v>
      </x:c>
      <x:c r="D344" s="5" t="n">
        <x:v>46115</x:v>
      </x:c>
      <x:c r="E344" s="1" t="str">
        <x:v>Production</x:v>
      </x:c>
      <x:c r="F344" s="1" t="str">
        <x:v>Workbook</x:v>
      </x:c>
      <x:c r="G344" s="1" t="str">
        <x:v>Low</x:v>
      </x:c>
      <x:c r="H344" s="1" t="str">
        <x:v>Manual</x:v>
      </x:c>
      <x:c r="I344" s="1" t="str">
        <x:v>Manual / NA</x:v>
      </x:c>
      <x:c r="J344" s="1" t="n">
        <x:v>67</x:v>
      </x:c>
      <x:c r="K344" s="6" t="n">
        <x:v>25.1</x:v>
      </x:c>
      <x:c r="L344" s="6" t="n">
        <x:v>24.3</x:v>
      </x:c>
      <x:c r="M344" s="6" t="n">
        <x:v>0</x:v>
      </x:c>
      <x:c r="N344" s="6" t="n">
        <x:v>27017.19</x:v>
      </x:c>
      <x:c r="O344" s="6" t="n">
        <x:v>26152.53</x:v>
      </x:c>
      <x:c r="P344" s="6" t="n">
        <x:v>0</x:v>
      </x:c>
      <x:c r="Q344" s="1" t="n">
        <x:v>1</x:v>
      </x:c>
      <x:c r="R344" s="1" t="str">
        <x:v>No</x:v>
      </x:c>
      <x:c r="S344" s="7" t="n">
        <x:v>95.3</x:v>
      </x:c>
      <x:c r="T344" s="1" t="str">
        <x:v>Yes</x:v>
      </x:c>
      <x:c r="U344" s="1" t="str">
        <x:v>Completed</x:v>
      </x:c>
    </x:row>
    <x:row r="345">
      <x:c r="A345" s="1" t="str">
        <x:v>PUB-0344</x:v>
      </x:c>
      <x:c r="B345" s="5" t="n">
        <x:v>45771</x:v>
      </x:c>
      <x:c r="C345" s="5" t="n">
        <x:v>45777</x:v>
      </x:c>
      <x:c r="D345" s="5" t="n">
        <x:v>45773</x:v>
      </x:c>
      <x:c r="E345" s="1" t="str">
        <x:v>Editorial</x:v>
      </x:c>
      <x:c r="F345" s="1" t="str">
        <x:v>Workbook</x:v>
      </x:c>
      <x:c r="G345" s="1" t="str">
        <x:v>Low</x:v>
      </x:c>
      <x:c r="H345" s="1" t="str">
        <x:v>AI-Assisted</x:v>
      </x:c>
      <x:c r="I345" s="1" t="str">
        <x:v>Editorial QA</x:v>
      </x:c>
      <x:c r="J345" s="1" t="n">
        <x:v>62</x:v>
      </x:c>
      <x:c r="K345" s="6" t="n">
        <x:v>13.1</x:v>
      </x:c>
      <x:c r="L345" s="6" t="n">
        <x:v>24.2</x:v>
      </x:c>
      <x:c r="M345" s="6" t="n">
        <x:v>11.1</x:v>
      </x:c>
      <x:c r="N345" s="6" t="n">
        <x:v>11678.82</x:v>
      </x:c>
      <x:c r="O345" s="6" t="n">
        <x:v>21534.52</x:v>
      </x:c>
      <x:c r="P345" s="6" t="n">
        <x:v>9855.7</x:v>
      </x:c>
      <x:c r="Q345" s="1" t="n">
        <x:v>0</x:v>
      </x:c>
      <x:c r="R345" s="1" t="str">
        <x:v>Yes</x:v>
      </x:c>
      <x:c r="S345" s="7" t="n">
        <x:v>85</x:v>
      </x:c>
      <x:c r="T345" s="1" t="str">
        <x:v>Yes</x:v>
      </x:c>
      <x:c r="U345" s="1" t="str">
        <x:v>Completed</x:v>
      </x:c>
    </x:row>
    <x:row r="346">
      <x:c r="A346" s="1" t="str">
        <x:v>PUB-0345</x:v>
      </x:c>
      <x:c r="B346" s="5" t="n">
        <x:v>45676</x:v>
      </x:c>
      <x:c r="C346" s="5" t="n">
        <x:v>45682</x:v>
      </x:c>
      <x:c r="D346" s="5" t="n">
        <x:v>45677</x:v>
      </x:c>
      <x:c r="E346" s="1" t="str">
        <x:v>Design</x:v>
      </x:c>
      <x:c r="F346" s="1" t="str">
        <x:v>E-book</x:v>
      </x:c>
      <x:c r="G346" s="1" t="str">
        <x:v>Medium</x:v>
      </x:c>
      <x:c r="H346" s="1" t="str">
        <x:v>AI-Assisted</x:v>
      </x:c>
      <x:c r="I346" s="1" t="str">
        <x:v>Structured v3</x:v>
      </x:c>
      <x:c r="J346" s="1" t="n">
        <x:v>23</x:v>
      </x:c>
      <x:c r="K346" s="6" t="n">
        <x:v>7.7</x:v>
      </x:c>
      <x:c r="L346" s="6" t="n">
        <x:v>12.3</x:v>
      </x:c>
      <x:c r="M346" s="6" t="n">
        <x:v>4.6</x:v>
      </x:c>
      <x:c r="N346" s="6" t="n">
        <x:v>5209.38</x:v>
      </x:c>
      <x:c r="O346" s="6" t="n">
        <x:v>8303.41</x:v>
      </x:c>
      <x:c r="P346" s="6" t="n">
        <x:v>3094.03</x:v>
      </x:c>
      <x:c r="Q346" s="1" t="n">
        <x:v>0</x:v>
      </x:c>
      <x:c r="R346" s="1" t="str">
        <x:v>Yes</x:v>
      </x:c>
      <x:c r="S346" s="7" t="n">
        <x:v>94.4</x:v>
      </x:c>
      <x:c r="T346" s="1" t="str">
        <x:v>Yes</x:v>
      </x:c>
      <x:c r="U346" s="1" t="str">
        <x:v>Completed</x:v>
      </x:c>
    </x:row>
    <x:row r="347">
      <x:c r="A347" s="1" t="str">
        <x:v>PUB-0346</x:v>
      </x:c>
      <x:c r="B347" s="5" t="n">
        <x:v>46026</x:v>
      </x:c>
      <x:c r="C347" s="5" t="n">
        <x:v>46044</x:v>
      </x:c>
      <x:c r="D347" s="5" t="n">
        <x:v>46039</x:v>
      </x:c>
      <x:c r="E347" s="1" t="str">
        <x:v>Digital Learning</x:v>
      </x:c>
      <x:c r="F347" s="1" t="str">
        <x:v>School Textbook</x:v>
      </x:c>
      <x:c r="G347" s="1" t="str">
        <x:v>Medium</x:v>
      </x:c>
      <x:c r="H347" s="1" t="str">
        <x:v>Manual</x:v>
      </x:c>
      <x:c r="I347" s="1" t="str">
        <x:v>Manual / NA</x:v>
      </x:c>
      <x:c r="J347" s="1" t="n">
        <x:v>174</x:v>
      </x:c>
      <x:c r="K347" s="6" t="n">
        <x:v>98.3</x:v>
      </x:c>
      <x:c r="L347" s="6" t="n">
        <x:v>100.1</x:v>
      </x:c>
      <x:c r="M347" s="6" t="n">
        <x:v>1.8</x:v>
      </x:c>
      <x:c r="N347" s="6" t="n">
        <x:v>98776.2</x:v>
      </x:c>
      <x:c r="O347" s="6" t="n">
        <x:v>100631.62</x:v>
      </x:c>
      <x:c r="P347" s="6" t="n">
        <x:v>1855.42</x:v>
      </x:c>
      <x:c r="Q347" s="1" t="n">
        <x:v>0</x:v>
      </x:c>
      <x:c r="R347" s="1" t="str">
        <x:v>Yes</x:v>
      </x:c>
      <x:c r="S347" s="7" t="n">
        <x:v>85.3</x:v>
      </x:c>
      <x:c r="T347" s="1" t="str">
        <x:v>Yes</x:v>
      </x:c>
      <x:c r="U347" s="1" t="str">
        <x:v>Completed</x:v>
      </x:c>
    </x:row>
    <x:row r="348">
      <x:c r="A348" s="1" t="str">
        <x:v>PUB-0347</x:v>
      </x:c>
      <x:c r="B348" s="5" t="n">
        <x:v>45848</x:v>
      </x:c>
      <x:c r="C348" s="5" t="n">
        <x:v>45853</x:v>
      </x:c>
      <x:c r="D348" s="5" t="n">
        <x:v>45852</x:v>
      </x:c>
      <x:c r="E348" s="1" t="str">
        <x:v>Editorial</x:v>
      </x:c>
      <x:c r="F348" s="1" t="str">
        <x:v>E-book</x:v>
      </x:c>
      <x:c r="G348" s="1" t="str">
        <x:v>Low</x:v>
      </x:c>
      <x:c r="H348" s="1" t="str">
        <x:v>AI-Assisted</x:v>
      </x:c>
      <x:c r="I348" s="1" t="str">
        <x:v>Editorial QA</x:v>
      </x:c>
      <x:c r="J348" s="1" t="n">
        <x:v>18</x:v>
      </x:c>
      <x:c r="K348" s="6" t="n">
        <x:v>3.9</x:v>
      </x:c>
      <x:c r="L348" s="6" t="n">
        <x:v>7</x:v>
      </x:c>
      <x:c r="M348" s="6" t="n">
        <x:v>3.1</x:v>
      </x:c>
      <x:c r="N348" s="6" t="n">
        <x:v>3302.13</x:v>
      </x:c>
      <x:c r="O348" s="6" t="n">
        <x:v>5954.6</x:v>
      </x:c>
      <x:c r="P348" s="6" t="n">
        <x:v>2652.47</x:v>
      </x:c>
      <x:c r="Q348" s="1" t="n">
        <x:v>1</x:v>
      </x:c>
      <x:c r="R348" s="1" t="str">
        <x:v>No</x:v>
      </x:c>
      <x:c r="S348" s="7" t="n">
        <x:v>82.8</x:v>
      </x:c>
      <x:c r="T348" s="1" t="str">
        <x:v>Yes</x:v>
      </x:c>
      <x:c r="U348" s="1" t="str">
        <x:v>Completed</x:v>
      </x:c>
    </x:row>
    <x:row r="349">
      <x:c r="A349" s="1" t="str">
        <x:v>PUB-0348</x:v>
      </x:c>
      <x:c r="B349" s="5" t="n">
        <x:v>45721</x:v>
      </x:c>
      <x:c r="C349" s="5" t="n">
        <x:v>45746</x:v>
      </x:c>
      <x:c r="D349" s="5" t="n">
        <x:v>45745</x:v>
      </x:c>
      <x:c r="E349" s="1" t="str">
        <x:v>Production</x:v>
      </x:c>
      <x:c r="F349" s="1" t="str">
        <x:v>E-book</x:v>
      </x:c>
      <x:c r="G349" s="1" t="str">
        <x:v>High</x:v>
      </x:c>
      <x:c r="H349" s="1" t="str">
        <x:v>Manual</x:v>
      </x:c>
      <x:c r="I349" s="1" t="str">
        <x:v>Manual / NA</x:v>
      </x:c>
      <x:c r="J349" s="1" t="n">
        <x:v>216</x:v>
      </x:c>
      <x:c r="K349" s="6" t="n">
        <x:v>173.2</x:v>
      </x:c>
      <x:c r="L349" s="6" t="n">
        <x:v>161.9</x:v>
      </x:c>
      <x:c r="M349" s="6" t="n">
        <x:v>0</x:v>
      </x:c>
      <x:c r="N349" s="6" t="n">
        <x:v>132115.46</x:v>
      </x:c>
      <x:c r="O349" s="6" t="n">
        <x:v>123469.6</x:v>
      </x:c>
      <x:c r="P349" s="6" t="n">
        <x:v>0</x:v>
      </x:c>
      <x:c r="Q349" s="1" t="n">
        <x:v>1</x:v>
      </x:c>
      <x:c r="R349" s="1" t="str">
        <x:v>No</x:v>
      </x:c>
      <x:c r="S349" s="7" t="n">
        <x:v>89.6</x:v>
      </x:c>
      <x:c r="T349" s="1" t="str">
        <x:v>Yes</x:v>
      </x:c>
      <x:c r="U349" s="1" t="str">
        <x:v>Completed</x:v>
      </x:c>
    </x:row>
    <x:row r="350">
      <x:c r="A350" s="1" t="str">
        <x:v>PUB-0349</x:v>
      </x:c>
      <x:c r="B350" s="5" t="n">
        <x:v>46191</x:v>
      </x:c>
      <x:c r="C350" s="5" t="n">
        <x:v>46199</x:v>
      </x:c>
      <x:c r="D350" s="5" t="n">
        <x:v>46192</x:v>
      </x:c>
      <x:c r="E350" s="1" t="str">
        <x:v>Digital Learning</x:v>
      </x:c>
      <x:c r="F350" s="1" t="str">
        <x:v>Assessment</x:v>
      </x:c>
      <x:c r="G350" s="1" t="str">
        <x:v>Medium</x:v>
      </x:c>
      <x:c r="H350" s="1" t="str">
        <x:v>AI-Assisted</x:v>
      </x:c>
      <x:c r="I350" s="1" t="str">
        <x:v>Structured v3</x:v>
      </x:c>
      <x:c r="J350" s="1" t="n">
        <x:v>34</x:v>
      </x:c>
      <x:c r="K350" s="6" t="n">
        <x:v>8.6</x:v>
      </x:c>
      <x:c r="L350" s="6" t="n">
        <x:v>15.4</x:v>
      </x:c>
      <x:c r="M350" s="6" t="n">
        <x:v>6.8</x:v>
      </x:c>
      <x:c r="N350" s="6" t="n">
        <x:v>8193.09</x:v>
      </x:c>
      <x:c r="O350" s="6" t="n">
        <x:v>14699.88</x:v>
      </x:c>
      <x:c r="P350" s="6" t="n">
        <x:v>6506.79</x:v>
      </x:c>
      <x:c r="Q350" s="1" t="n">
        <x:v>0</x:v>
      </x:c>
      <x:c r="R350" s="1" t="str">
        <x:v>Yes</x:v>
      </x:c>
      <x:c r="S350" s="7" t="n">
        <x:v>94.4</x:v>
      </x:c>
      <x:c r="T350" s="1" t="str">
        <x:v>Yes</x:v>
      </x:c>
      <x:c r="U350" s="1" t="str">
        <x:v>Completed</x:v>
      </x:c>
    </x:row>
    <x:row r="351">
      <x:c r="A351" s="1" t="str">
        <x:v>PUB-0350</x:v>
      </x:c>
      <x:c r="B351" s="5" t="n">
        <x:v>45865</x:v>
      </x:c>
      <x:c r="C351" s="5" t="n">
        <x:v>45871</x:v>
      </x:c>
      <x:c r="D351" s="5" t="n">
        <x:v>45867</x:v>
      </x:c>
      <x:c r="E351" s="1" t="str">
        <x:v>Digital Learning</x:v>
      </x:c>
      <x:c r="F351" s="1" t="str">
        <x:v>Workbook</x:v>
      </x:c>
      <x:c r="G351" s="1" t="str">
        <x:v>Medium</x:v>
      </x:c>
      <x:c r="H351" s="1" t="str">
        <x:v>AI-Assisted</x:v>
      </x:c>
      <x:c r="I351" s="1" t="str">
        <x:v>Few-shot v2</x:v>
      </x:c>
      <x:c r="J351" s="1" t="n">
        <x:v>42</x:v>
      </x:c>
      <x:c r="K351" s="6" t="n">
        <x:v>15.6</x:v>
      </x:c>
      <x:c r="L351" s="6" t="n">
        <x:v>23.5</x:v>
      </x:c>
      <x:c r="M351" s="6" t="n">
        <x:v>7.9</x:v>
      </x:c>
      <x:c r="N351" s="6" t="n">
        <x:v>15258.61</x:v>
      </x:c>
      <x:c r="O351" s="6" t="n">
        <x:v>23004.48</x:v>
      </x:c>
      <x:c r="P351" s="6" t="n">
        <x:v>7745.87</x:v>
      </x:c>
      <x:c r="Q351" s="1" t="n">
        <x:v>0</x:v>
      </x:c>
      <x:c r="R351" s="1" t="str">
        <x:v>Yes</x:v>
      </x:c>
      <x:c r="S351" s="7" t="n">
        <x:v>94.9</x:v>
      </x:c>
      <x:c r="T351" s="1" t="str">
        <x:v>Yes</x:v>
      </x:c>
      <x:c r="U351" s="1" t="str">
        <x:v>Completed</x:v>
      </x:c>
    </x:row>
    <x:row r="352">
      <x:c r="A352" s="1" t="str">
        <x:v>PUB-0351</x:v>
      </x:c>
      <x:c r="B352" s="5" t="n">
        <x:v>46203</x:v>
      </x:c>
      <x:c r="C352" s="5" t="n">
        <x:v>46219</x:v>
      </x:c>
      <x:c r="D352" s="5" t="n">
        <x:v>46210</x:v>
      </x:c>
      <x:c r="E352" s="1" t="str">
        <x:v>Digital Learning</x:v>
      </x:c>
      <x:c r="F352" s="1" t="str">
        <x:v>School Textbook</x:v>
      </x:c>
      <x:c r="G352" s="1" t="str">
        <x:v>Low</x:v>
      </x:c>
      <x:c r="H352" s="1" t="str">
        <x:v>AI-Assisted</x:v>
      </x:c>
      <x:c r="I352" s="1" t="str">
        <x:v>Visual Brief</x:v>
      </x:c>
      <x:c r="J352" s="1" t="n">
        <x:v>194</x:v>
      </x:c>
      <x:c r="K352" s="6" t="n">
        <x:v>48.8</x:v>
      </x:c>
      <x:c r="L352" s="6" t="n">
        <x:v>68.4</x:v>
      </x:c>
      <x:c r="M352" s="6" t="n">
        <x:v>19.6</x:v>
      </x:c>
      <x:c r="N352" s="6" t="n">
        <x:v>55173.19</x:v>
      </x:c>
      <x:c r="O352" s="6" t="n">
        <x:v>77357.89</x:v>
      </x:c>
      <x:c r="P352" s="6" t="n">
        <x:v>22184.7</x:v>
      </x:c>
      <x:c r="Q352" s="1" t="n">
        <x:v>0</x:v>
      </x:c>
      <x:c r="R352" s="1" t="str">
        <x:v>Yes</x:v>
      </x:c>
      <x:c r="S352" s="7" t="n">
        <x:v>88.7</x:v>
      </x:c>
      <x:c r="T352" s="1" t="str">
        <x:v>Yes</x:v>
      </x:c>
      <x:c r="U352" s="1" t="str">
        <x:v>Completed</x:v>
      </x:c>
    </x:row>
    <x:row r="353">
      <x:c r="A353" s="1" t="str">
        <x:v>PUB-0352</x:v>
      </x:c>
      <x:c r="B353" s="5" t="n">
        <x:v>45850</x:v>
      </x:c>
      <x:c r="C353" s="5" t="n">
        <x:v>45863</x:v>
      </x:c>
      <x:c r="D353" s="5" t="n">
        <x:v>45864</x:v>
      </x:c>
      <x:c r="E353" s="1" t="str">
        <x:v>Editorial</x:v>
      </x:c>
      <x:c r="F353" s="1" t="str">
        <x:v>School Textbook</x:v>
      </x:c>
      <x:c r="G353" s="1" t="str">
        <x:v>Medium</x:v>
      </x:c>
      <x:c r="H353" s="1" t="str">
        <x:v>Manual</x:v>
      </x:c>
      <x:c r="I353" s="1" t="str">
        <x:v>Manual / NA</x:v>
      </x:c>
      <x:c r="J353" s="1" t="n">
        <x:v>164</x:v>
      </x:c>
      <x:c r="K353" s="6" t="n">
        <x:v>81.1</x:v>
      </x:c>
      <x:c r="L353" s="6" t="n">
        <x:v>80.9</x:v>
      </x:c>
      <x:c r="M353" s="6" t="n">
        <x:v>0</x:v>
      </x:c>
      <x:c r="N353" s="6" t="n">
        <x:v>76897.43</x:v>
      </x:c>
      <x:c r="O353" s="6" t="n">
        <x:v>76698.51</x:v>
      </x:c>
      <x:c r="P353" s="6" t="n">
        <x:v>0</x:v>
      </x:c>
      <x:c r="Q353" s="1" t="n">
        <x:v>1</x:v>
      </x:c>
      <x:c r="R353" s="1" t="str">
        <x:v>No</x:v>
      </x:c>
      <x:c r="S353" s="7" t="n">
        <x:v>73.2</x:v>
      </x:c>
      <x:c r="T353" s="1" t="str">
        <x:v>No</x:v>
      </x:c>
      <x:c r="U353" s="1" t="str">
        <x:v>Completed</x:v>
      </x:c>
    </x:row>
    <x:row r="354">
      <x:c r="A354" s="1" t="str">
        <x:v>PUB-0353</x:v>
      </x:c>
      <x:c r="B354" s="5" t="n">
        <x:v>45795</x:v>
      </x:c>
      <x:c r="C354" s="5" t="n">
        <x:v>45803</x:v>
      </x:c>
      <x:c r="D354" s="5" t="n">
        <x:v>45796</x:v>
      </x:c>
      <x:c r="E354" s="1" t="str">
        <x:v>Design</x:v>
      </x:c>
      <x:c r="F354" s="1" t="str">
        <x:v>Assessment</x:v>
      </x:c>
      <x:c r="G354" s="1" t="str">
        <x:v>Medium</x:v>
      </x:c>
      <x:c r="H354" s="1" t="str">
        <x:v>AI-Assisted</x:v>
      </x:c>
      <x:c r="I354" s="1" t="str">
        <x:v>Few-shot v2</x:v>
      </x:c>
      <x:c r="J354" s="1" t="n">
        <x:v>53</x:v>
      </x:c>
      <x:c r="K354" s="6" t="n">
        <x:v>10.9</x:v>
      </x:c>
      <x:c r="L354" s="6" t="n">
        <x:v>20.7</x:v>
      </x:c>
      <x:c r="M354" s="6" t="n">
        <x:v>9.8</x:v>
      </x:c>
      <x:c r="N354" s="6" t="n">
        <x:v>7260.65</x:v>
      </x:c>
      <x:c r="O354" s="6" t="n">
        <x:v>13777.52</x:v>
      </x:c>
      <x:c r="P354" s="6" t="n">
        <x:v>6516.87</x:v>
      </x:c>
      <x:c r="Q354" s="1" t="n">
        <x:v>0</x:v>
      </x:c>
      <x:c r="R354" s="1" t="str">
        <x:v>Yes</x:v>
      </x:c>
      <x:c r="S354" s="7" t="n">
        <x:v>93.3</x:v>
      </x:c>
      <x:c r="T354" s="1" t="str">
        <x:v>Yes</x:v>
      </x:c>
      <x:c r="U354" s="1" t="str">
        <x:v>Completed</x:v>
      </x:c>
    </x:row>
    <x:row r="355">
      <x:c r="A355" s="1" t="str">
        <x:v>PUB-0354</x:v>
      </x:c>
      <x:c r="B355" s="5" t="n">
        <x:v>45865</x:v>
      </x:c>
      <x:c r="C355" s="5" t="n">
        <x:v>45877</x:v>
      </x:c>
      <x:c r="D355" s="5" t="n">
        <x:v>45877</x:v>
      </x:c>
      <x:c r="E355" s="1" t="str">
        <x:v>Production</x:v>
      </x:c>
      <x:c r="F355" s="1" t="str">
        <x:v>School Textbook</x:v>
      </x:c>
      <x:c r="G355" s="1" t="str">
        <x:v>High</x:v>
      </x:c>
      <x:c r="H355" s="1" t="str">
        <x:v>Manual</x:v>
      </x:c>
      <x:c r="I355" s="1" t="str">
        <x:v>Manual / NA</x:v>
      </x:c>
      <x:c r="J355" s="1" t="n">
        <x:v>120</x:v>
      </x:c>
      <x:c r="K355" s="6" t="n">
        <x:v>70</x:v>
      </x:c>
      <x:c r="L355" s="6" t="n">
        <x:v>74.1</x:v>
      </x:c>
      <x:c r="M355" s="6" t="n">
        <x:v>4.1</x:v>
      </x:c>
      <x:c r="N355" s="6" t="n">
        <x:v>61514.07</x:v>
      </x:c>
      <x:c r="O355" s="6" t="n">
        <x:v>65114.87</x:v>
      </x:c>
      <x:c r="P355" s="6" t="n">
        <x:v>3600.8</x:v>
      </x:c>
      <x:c r="Q355" s="1" t="n">
        <x:v>1</x:v>
      </x:c>
      <x:c r="R355" s="1" t="str">
        <x:v>No</x:v>
      </x:c>
      <x:c r="S355" s="7" t="n">
        <x:v>83.8</x:v>
      </x:c>
      <x:c r="T355" s="1" t="str">
        <x:v>Yes</x:v>
      </x:c>
      <x:c r="U355" s="1" t="str">
        <x:v>Completed</x:v>
      </x:c>
    </x:row>
    <x:row r="356">
      <x:c r="A356" s="1" t="str">
        <x:v>PUB-0355</x:v>
      </x:c>
      <x:c r="B356" s="5" t="n">
        <x:v>46047</x:v>
      </x:c>
      <x:c r="C356" s="5" t="n">
        <x:v>46059</x:v>
      </x:c>
      <x:c r="D356" s="5" t="n">
        <x:v>46057</x:v>
      </x:c>
      <x:c r="E356" s="1" t="str">
        <x:v>Production</x:v>
      </x:c>
      <x:c r="F356" s="1" t="str">
        <x:v>Workbook</x:v>
      </x:c>
      <x:c r="G356" s="1" t="str">
        <x:v>Medium</x:v>
      </x:c>
      <x:c r="H356" s="1" t="str">
        <x:v>Manual</x:v>
      </x:c>
      <x:c r="I356" s="1" t="str">
        <x:v>Manual / NA</x:v>
      </x:c>
      <x:c r="J356" s="1" t="n">
        <x:v>154</x:v>
      </x:c>
      <x:c r="K356" s="6" t="n">
        <x:v>77.3</x:v>
      </x:c>
      <x:c r="L356" s="6" t="n">
        <x:v>73.2</x:v>
      </x:c>
      <x:c r="M356" s="6" t="n">
        <x:v>0</x:v>
      </x:c>
      <x:c r="N356" s="6" t="n">
        <x:v>80659.45</x:v>
      </x:c>
      <x:c r="O356" s="6" t="n">
        <x:v>76417.59</x:v>
      </x:c>
      <x:c r="P356" s="6" t="n">
        <x:v>0</x:v>
      </x:c>
      <x:c r="Q356" s="1" t="n">
        <x:v>0</x:v>
      </x:c>
      <x:c r="R356" s="1" t="str">
        <x:v>Yes</x:v>
      </x:c>
      <x:c r="S356" s="7" t="n">
        <x:v>75.2</x:v>
      </x:c>
      <x:c r="T356" s="1" t="str">
        <x:v>Yes</x:v>
      </x:c>
      <x:c r="U356" s="1" t="str">
        <x:v>Completed</x:v>
      </x:c>
    </x:row>
    <x:row r="357">
      <x:c r="A357" s="1" t="str">
        <x:v>PUB-0356</x:v>
      </x:c>
      <x:c r="B357" s="5" t="n">
        <x:v>46063</x:v>
      </x:c>
      <x:c r="C357" s="5" t="n">
        <x:v>46068</x:v>
      </x:c>
      <x:c r="D357" s="5" t="n">
        <x:v>46064</x:v>
      </x:c>
      <x:c r="E357" s="1" t="str">
        <x:v>Digital Learning</x:v>
      </x:c>
      <x:c r="F357" s="1" t="str">
        <x:v>School Textbook</x:v>
      </x:c>
      <x:c r="G357" s="1" t="str">
        <x:v>Low</x:v>
      </x:c>
      <x:c r="H357" s="1" t="str">
        <x:v>AI-Assisted</x:v>
      </x:c>
      <x:c r="I357" s="1" t="str">
        <x:v>Editorial QA</x:v>
      </x:c>
      <x:c r="J357" s="1" t="n">
        <x:v>20</x:v>
      </x:c>
      <x:c r="K357" s="6" t="n">
        <x:v>5.2</x:v>
      </x:c>
      <x:c r="L357" s="6" t="n">
        <x:v>7.5</x:v>
      </x:c>
      <x:c r="M357" s="6" t="n">
        <x:v>2.3</x:v>
      </x:c>
      <x:c r="N357" s="6" t="n">
        <x:v>5391.56</x:v>
      </x:c>
      <x:c r="O357" s="6" t="n">
        <x:v>7765.83</x:v>
      </x:c>
      <x:c r="P357" s="6" t="n">
        <x:v>2374.27</x:v>
      </x:c>
      <x:c r="Q357" s="1" t="n">
        <x:v>0</x:v>
      </x:c>
      <x:c r="R357" s="1" t="str">
        <x:v>Yes</x:v>
      </x:c>
      <x:c r="S357" s="7" t="n">
        <x:v>92.1</x:v>
      </x:c>
      <x:c r="T357" s="1" t="str">
        <x:v>Yes</x:v>
      </x:c>
      <x:c r="U357" s="1" t="str">
        <x:v>Completed</x:v>
      </x:c>
    </x:row>
    <x:row r="358">
      <x:c r="A358" s="1" t="str">
        <x:v>PUB-0357</x:v>
      </x:c>
      <x:c r="B358" s="5" t="n">
        <x:v>45713</x:v>
      </x:c>
      <x:c r="C358" s="5" t="n">
        <x:v>45720</x:v>
      </x:c>
      <x:c r="D358" s="5" t="n">
        <x:v>45714</x:v>
      </x:c>
      <x:c r="E358" s="1" t="str">
        <x:v>Production</x:v>
      </x:c>
      <x:c r="F358" s="1" t="str">
        <x:v>E-book</x:v>
      </x:c>
      <x:c r="G358" s="1" t="str">
        <x:v>Medium</x:v>
      </x:c>
      <x:c r="H358" s="1" t="str">
        <x:v>AI-Assisted</x:v>
      </x:c>
      <x:c r="I358" s="1" t="str">
        <x:v>Editorial QA</x:v>
      </x:c>
      <x:c r="J358" s="1" t="n">
        <x:v>31</x:v>
      </x:c>
      <x:c r="K358" s="6" t="n">
        <x:v>8</x:v>
      </x:c>
      <x:c r="L358" s="6" t="n">
        <x:v>11.9</x:v>
      </x:c>
      <x:c r="M358" s="6" t="n">
        <x:v>3.9</x:v>
      </x:c>
      <x:c r="N358" s="6" t="n">
        <x:v>8951.37</x:v>
      </x:c>
      <x:c r="O358" s="6" t="n">
        <x:v>13350.78</x:v>
      </x:c>
      <x:c r="P358" s="6" t="n">
        <x:v>4399.41</x:v>
      </x:c>
      <x:c r="Q358" s="1" t="n">
        <x:v>0</x:v>
      </x:c>
      <x:c r="R358" s="1" t="str">
        <x:v>Yes</x:v>
      </x:c>
      <x:c r="S358" s="7" t="n">
        <x:v>92.7</x:v>
      </x:c>
      <x:c r="T358" s="1" t="str">
        <x:v>Yes</x:v>
      </x:c>
      <x:c r="U358" s="1" t="str">
        <x:v>Completed</x:v>
      </x:c>
    </x:row>
    <x:row r="359">
      <x:c r="A359" s="1" t="str">
        <x:v>PUB-0358</x:v>
      </x:c>
      <x:c r="B359" s="5" t="n">
        <x:v>45864</x:v>
      </x:c>
      <x:c r="C359" s="5" t="n">
        <x:v>45885</x:v>
      </x:c>
      <x:c r="D359" s="5" t="n">
        <x:v>45873</x:v>
      </x:c>
      <x:c r="E359" s="1" t="str">
        <x:v>Digital Learning</x:v>
      </x:c>
      <x:c r="F359" s="1" t="str">
        <x:v>School Textbook</x:v>
      </x:c>
      <x:c r="G359" s="1" t="str">
        <x:v>High</x:v>
      </x:c>
      <x:c r="H359" s="1" t="str">
        <x:v>AI-Assisted</x:v>
      </x:c>
      <x:c r="I359" s="1" t="str">
        <x:v>Editorial QA</x:v>
      </x:c>
      <x:c r="J359" s="1" t="n">
        <x:v>190</x:v>
      </x:c>
      <x:c r="K359" s="6" t="n">
        <x:v>66.2</x:v>
      </x:c>
      <x:c r="L359" s="6" t="n">
        <x:v>129.9</x:v>
      </x:c>
      <x:c r="M359" s="6" t="n">
        <x:v>63.7</x:v>
      </x:c>
      <x:c r="N359" s="6" t="n">
        <x:v>46808.86</x:v>
      </x:c>
      <x:c r="O359" s="6" t="n">
        <x:v>91867.72</x:v>
      </x:c>
      <x:c r="P359" s="6" t="n">
        <x:v>45058.86</x:v>
      </x:c>
      <x:c r="Q359" s="1" t="n">
        <x:v>0</x:v>
      </x:c>
      <x:c r="R359" s="1" t="str">
        <x:v>Yes</x:v>
      </x:c>
      <x:c r="S359" s="7" t="n">
        <x:v>93.3</x:v>
      </x:c>
      <x:c r="T359" s="1" t="str">
        <x:v>Yes</x:v>
      </x:c>
      <x:c r="U359" s="1" t="str">
        <x:v>Completed</x:v>
      </x:c>
    </x:row>
    <x:row r="360">
      <x:c r="A360" s="1" t="str">
        <x:v>PUB-0359</x:v>
      </x:c>
      <x:c r="B360" s="5" t="n">
        <x:v>46051</x:v>
      </x:c>
      <x:c r="C360" s="5" t="n">
        <x:v>46064</x:v>
      </x:c>
      <x:c r="D360" s="5" t="n">
        <x:v>46058</x:v>
      </x:c>
      <x:c r="E360" s="1" t="str">
        <x:v>Production</x:v>
      </x:c>
      <x:c r="F360" s="1" t="str">
        <x:v>E-book</x:v>
      </x:c>
      <x:c r="G360" s="1" t="str">
        <x:v>Medium</x:v>
      </x:c>
      <x:c r="H360" s="1" t="str">
        <x:v>AI-Assisted</x:v>
      </x:c>
      <x:c r="I360" s="1" t="str">
        <x:v>Structured v3</x:v>
      </x:c>
      <x:c r="J360" s="1" t="n">
        <x:v>148</x:v>
      </x:c>
      <x:c r="K360" s="6" t="n">
        <x:v>54.7</x:v>
      </x:c>
      <x:c r="L360" s="6" t="n">
        <x:v>78.3</x:v>
      </x:c>
      <x:c r="M360" s="6" t="n">
        <x:v>23.6</x:v>
      </x:c>
      <x:c r="N360" s="6" t="n">
        <x:v>51021.19</x:v>
      </x:c>
      <x:c r="O360" s="6" t="n">
        <x:v>73028.92</x:v>
      </x:c>
      <x:c r="P360" s="6" t="n">
        <x:v>22007.73</x:v>
      </x:c>
      <x:c r="Q360" s="1" t="n">
        <x:v>0</x:v>
      </x:c>
      <x:c r="R360" s="1" t="str">
        <x:v>Yes</x:v>
      </x:c>
      <x:c r="S360" s="7" t="n">
        <x:v>95.5</x:v>
      </x:c>
      <x:c r="T360" s="1" t="str">
        <x:v>Yes</x:v>
      </x:c>
      <x:c r="U360" s="1" t="str">
        <x:v>Completed</x:v>
      </x:c>
    </x:row>
    <x:row r="361">
      <x:c r="A361" s="1" t="str">
        <x:v>PUB-0360</x:v>
      </x:c>
      <x:c r="B361" s="5" t="n">
        <x:v>45973</x:v>
      </x:c>
      <x:c r="C361" s="5" t="n">
        <x:v>45980</x:v>
      </x:c>
      <x:c r="D361" s="5" t="n">
        <x:v>45977</x:v>
      </x:c>
      <x:c r="E361" s="1" t="str">
        <x:v>Editorial</x:v>
      </x:c>
      <x:c r="F361" s="1" t="str">
        <x:v>Illustration</x:v>
      </x:c>
      <x:c r="G361" s="1" t="str">
        <x:v>High</x:v>
      </x:c>
      <x:c r="H361" s="1" t="str">
        <x:v>AI-Assisted</x:v>
      </x:c>
      <x:c r="I361" s="1" t="str">
        <x:v>Editorial QA</x:v>
      </x:c>
      <x:c r="J361" s="1" t="n">
        <x:v>19</x:v>
      </x:c>
      <x:c r="K361" s="6" t="n">
        <x:v>6.9</x:v>
      </x:c>
      <x:c r="L361" s="6" t="n">
        <x:v>14.3</x:v>
      </x:c>
      <x:c r="M361" s="6" t="n">
        <x:v>7.4</x:v>
      </x:c>
      <x:c r="N361" s="6" t="n">
        <x:v>7125.62</x:v>
      </x:c>
      <x:c r="O361" s="6" t="n">
        <x:v>14796.59</x:v>
      </x:c>
      <x:c r="P361" s="6" t="n">
        <x:v>7670.97</x:v>
      </x:c>
      <x:c r="Q361" s="1" t="n">
        <x:v>1</x:v>
      </x:c>
      <x:c r="R361" s="1" t="str">
        <x:v>No</x:v>
      </x:c>
      <x:c r="S361" s="7" t="n">
        <x:v>96.4</x:v>
      </x:c>
      <x:c r="T361" s="1" t="str">
        <x:v>Yes</x:v>
      </x:c>
      <x:c r="U361" s="1" t="str">
        <x:v>Completed</x:v>
      </x:c>
    </x:row>
    <x:row r="362">
      <x:c r="A362" s="1" t="str">
        <x:v>PUB-0361</x:v>
      </x:c>
      <x:c r="B362" s="5" t="n">
        <x:v>46163</x:v>
      </x:c>
      <x:c r="C362" s="5" t="n">
        <x:v>46168</x:v>
      </x:c>
      <x:c r="D362" s="5" t="n">
        <x:v>46164</x:v>
      </x:c>
      <x:c r="E362" s="1" t="str">
        <x:v>Editorial</x:v>
      </x:c>
      <x:c r="F362" s="1" t="str">
        <x:v>Assessment</x:v>
      </x:c>
      <x:c r="G362" s="1" t="str">
        <x:v>Medium</x:v>
      </x:c>
      <x:c r="H362" s="1" t="str">
        <x:v>AI-Assisted</x:v>
      </x:c>
      <x:c r="I362" s="1" t="str">
        <x:v>Few-shot v2</x:v>
      </x:c>
      <x:c r="J362" s="1" t="n">
        <x:v>14</x:v>
      </x:c>
      <x:c r="K362" s="6" t="n">
        <x:v>3.5</x:v>
      </x:c>
      <x:c r="L362" s="6" t="n">
        <x:v>5.1</x:v>
      </x:c>
      <x:c r="M362" s="6" t="n">
        <x:v>1.6</x:v>
      </x:c>
      <x:c r="N362" s="6" t="n">
        <x:v>2761.7</x:v>
      </x:c>
      <x:c r="O362" s="6" t="n">
        <x:v>3992.82</x:v>
      </x:c>
      <x:c r="P362" s="6" t="n">
        <x:v>1231.12</x:v>
      </x:c>
      <x:c r="Q362" s="1" t="n">
        <x:v>0</x:v>
      </x:c>
      <x:c r="R362" s="1" t="str">
        <x:v>Yes</x:v>
      </x:c>
      <x:c r="S362" s="7" t="n">
        <x:v>90.6</x:v>
      </x:c>
      <x:c r="T362" s="1" t="str">
        <x:v>Yes</x:v>
      </x:c>
      <x:c r="U362" s="1" t="str">
        <x:v>Completed</x:v>
      </x:c>
    </x:row>
    <x:row r="363">
      <x:c r="A363" s="1" t="str">
        <x:v>PUB-0362</x:v>
      </x:c>
      <x:c r="B363" s="5" t="n">
        <x:v>46015</x:v>
      </x:c>
      <x:c r="C363" s="5" t="n">
        <x:v>46026</x:v>
      </x:c>
      <x:c r="D363" s="5" t="n">
        <x:v>46020</x:v>
      </x:c>
      <x:c r="E363" s="1" t="str">
        <x:v>Editorial</x:v>
      </x:c>
      <x:c r="F363" s="1" t="str">
        <x:v>E-book</x:v>
      </x:c>
      <x:c r="G363" s="1" t="str">
        <x:v>Medium</x:v>
      </x:c>
      <x:c r="H363" s="1" t="str">
        <x:v>AI-Assisted</x:v>
      </x:c>
      <x:c r="I363" s="1" t="str">
        <x:v>Visual Brief</x:v>
      </x:c>
      <x:c r="J363" s="1" t="n">
        <x:v>84</x:v>
      </x:c>
      <x:c r="K363" s="6" t="n">
        <x:v>16.1</x:v>
      </x:c>
      <x:c r="L363" s="6" t="n">
        <x:v>31.9</x:v>
      </x:c>
      <x:c r="M363" s="6" t="n">
        <x:v>15.8</x:v>
      </x:c>
      <x:c r="N363" s="6" t="n">
        <x:v>18464.57</x:v>
      </x:c>
      <x:c r="O363" s="6" t="n">
        <x:v>36540.06</x:v>
      </x:c>
      <x:c r="P363" s="6" t="n">
        <x:v>18075.49</x:v>
      </x:c>
      <x:c r="Q363" s="1" t="n">
        <x:v>1</x:v>
      </x:c>
      <x:c r="R363" s="1" t="str">
        <x:v>No</x:v>
      </x:c>
      <x:c r="S363" s="7" t="n">
        <x:v>84</x:v>
      </x:c>
      <x:c r="T363" s="1" t="str">
        <x:v>Yes</x:v>
      </x:c>
      <x:c r="U363" s="1" t="str">
        <x:v>Completed</x:v>
      </x:c>
    </x:row>
    <x:row r="364">
      <x:c r="A364" s="1" t="str">
        <x:v>PUB-0363</x:v>
      </x:c>
      <x:c r="B364" s="5" t="n">
        <x:v>45839</x:v>
      </x:c>
      <x:c r="C364" s="5" t="n">
        <x:v>45844</x:v>
      </x:c>
      <x:c r="D364" s="5" t="n">
        <x:v>45841</x:v>
      </x:c>
      <x:c r="E364" s="1" t="str">
        <x:v>Digital Learning</x:v>
      </x:c>
      <x:c r="F364" s="1" t="str">
        <x:v>Illustration</x:v>
      </x:c>
      <x:c r="G364" s="1" t="str">
        <x:v>Medium</x:v>
      </x:c>
      <x:c r="H364" s="1" t="str">
        <x:v>AI-Assisted</x:v>
      </x:c>
      <x:c r="I364" s="1" t="str">
        <x:v>Structured v3</x:v>
      </x:c>
      <x:c r="J364" s="1" t="n">
        <x:v>42</x:v>
      </x:c>
      <x:c r="K364" s="6" t="n">
        <x:v>15.8</x:v>
      </x:c>
      <x:c r="L364" s="6" t="n">
        <x:v>23.4</x:v>
      </x:c>
      <x:c r="M364" s="6" t="n">
        <x:v>7.6</x:v>
      </x:c>
      <x:c r="N364" s="6" t="n">
        <x:v>16261.69</x:v>
      </x:c>
      <x:c r="O364" s="6" t="n">
        <x:v>24097.33</x:v>
      </x:c>
      <x:c r="P364" s="6" t="n">
        <x:v>7835.64</x:v>
      </x:c>
      <x:c r="Q364" s="1" t="n">
        <x:v>0</x:v>
      </x:c>
      <x:c r="R364" s="1" t="str">
        <x:v>Yes</x:v>
      </x:c>
      <x:c r="S364" s="7" t="n">
        <x:v>94.7</x:v>
      </x:c>
      <x:c r="T364" s="1" t="str">
        <x:v>Yes</x:v>
      </x:c>
      <x:c r="U364" s="1" t="str">
        <x:v>Completed</x:v>
      </x:c>
    </x:row>
    <x:row r="365">
      <x:c r="A365" s="1" t="str">
        <x:v>PUB-0364</x:v>
      </x:c>
      <x:c r="B365" s="5" t="n">
        <x:v>45995</x:v>
      </x:c>
      <x:c r="C365" s="5" t="n">
        <x:v>46003</x:v>
      </x:c>
      <x:c r="D365" s="5" t="n">
        <x:v>45996</x:v>
      </x:c>
      <x:c r="E365" s="1" t="str">
        <x:v>Design</x:v>
      </x:c>
      <x:c r="F365" s="1" t="str">
        <x:v>Assessment</x:v>
      </x:c>
      <x:c r="G365" s="1" t="str">
        <x:v>Medium</x:v>
      </x:c>
      <x:c r="H365" s="1" t="str">
        <x:v>AI-Assisted</x:v>
      </x:c>
      <x:c r="I365" s="1" t="str">
        <x:v>Editorial QA</x:v>
      </x:c>
      <x:c r="J365" s="1" t="n">
        <x:v>17</x:v>
      </x:c>
      <x:c r="K365" s="6" t="n">
        <x:v>5.9</x:v>
      </x:c>
      <x:c r="L365" s="6" t="n">
        <x:v>9.8</x:v>
      </x:c>
      <x:c r="M365" s="6" t="n">
        <x:v>3.9</x:v>
      </x:c>
      <x:c r="N365" s="6" t="n">
        <x:v>4093.63</x:v>
      </x:c>
      <x:c r="O365" s="6" t="n">
        <x:v>6787.63</x:v>
      </x:c>
      <x:c r="P365" s="6" t="n">
        <x:v>2694</x:v>
      </x:c>
      <x:c r="Q365" s="1" t="n">
        <x:v>0</x:v>
      </x:c>
      <x:c r="R365" s="1" t="str">
        <x:v>Yes</x:v>
      </x:c>
      <x:c r="S365" s="7" t="n">
        <x:v>91.5</x:v>
      </x:c>
      <x:c r="T365" s="1" t="str">
        <x:v>Yes</x:v>
      </x:c>
      <x:c r="U365" s="1" t="str">
        <x:v>Completed</x:v>
      </x:c>
    </x:row>
    <x:row r="366">
      <x:c r="A366" s="1" t="str">
        <x:v>PUB-0365</x:v>
      </x:c>
      <x:c r="B366" s="5" t="n">
        <x:v>45982</x:v>
      </x:c>
      <x:c r="C366" s="5" t="n">
        <x:v>45988</x:v>
      </x:c>
      <x:c r="D366" s="5" t="n">
        <x:v>45985</x:v>
      </x:c>
      <x:c r="E366" s="1" t="str">
        <x:v>Editorial</x:v>
      </x:c>
      <x:c r="F366" s="1" t="str">
        <x:v>Assessment</x:v>
      </x:c>
      <x:c r="G366" s="1" t="str">
        <x:v>Medium</x:v>
      </x:c>
      <x:c r="H366" s="1" t="str">
        <x:v>AI-Assisted</x:v>
      </x:c>
      <x:c r="I366" s="1" t="str">
        <x:v>Visual Brief</x:v>
      </x:c>
      <x:c r="J366" s="1" t="n">
        <x:v>67</x:v>
      </x:c>
      <x:c r="K366" s="6" t="n">
        <x:v>20</x:v>
      </x:c>
      <x:c r="L366" s="6" t="n">
        <x:v>33.4</x:v>
      </x:c>
      <x:c r="M366" s="6" t="n">
        <x:v>13.4</x:v>
      </x:c>
      <x:c r="N366" s="6" t="n">
        <x:v>14799.07</x:v>
      </x:c>
      <x:c r="O366" s="6" t="n">
        <x:v>24739.3</x:v>
      </x:c>
      <x:c r="P366" s="6" t="n">
        <x:v>9940.23</x:v>
      </x:c>
      <x:c r="Q366" s="1" t="n">
        <x:v>0</x:v>
      </x:c>
      <x:c r="R366" s="1" t="str">
        <x:v>Yes</x:v>
      </x:c>
      <x:c r="S366" s="7" t="n">
        <x:v>85.1</x:v>
      </x:c>
      <x:c r="T366" s="1" t="str">
        <x:v>Yes</x:v>
      </x:c>
      <x:c r="U366" s="1" t="str">
        <x:v>Completed</x:v>
      </x:c>
    </x:row>
    <x:row r="367">
      <x:c r="A367" s="1" t="str">
        <x:v>PUB-0366</x:v>
      </x:c>
      <x:c r="B367" s="5" t="n">
        <x:v>45778</x:v>
      </x:c>
      <x:c r="C367" s="5" t="n">
        <x:v>45784</x:v>
      </x:c>
      <x:c r="D367" s="5" t="n">
        <x:v>45779</x:v>
      </x:c>
      <x:c r="E367" s="1" t="str">
        <x:v>Production</x:v>
      </x:c>
      <x:c r="F367" s="1" t="str">
        <x:v>School Textbook</x:v>
      </x:c>
      <x:c r="G367" s="1" t="str">
        <x:v>Medium</x:v>
      </x:c>
      <x:c r="H367" s="1" t="str">
        <x:v>AI-Assisted</x:v>
      </x:c>
      <x:c r="I367" s="1" t="str">
        <x:v>Few-shot v2</x:v>
      </x:c>
      <x:c r="J367" s="1" t="n">
        <x:v>19</x:v>
      </x:c>
      <x:c r="K367" s="6" t="n">
        <x:v>5.8</x:v>
      </x:c>
      <x:c r="L367" s="6" t="n">
        <x:v>9.2</x:v>
      </x:c>
      <x:c r="M367" s="6" t="n">
        <x:v>3.4</x:v>
      </x:c>
      <x:c r="N367" s="6" t="n">
        <x:v>3802.76</x:v>
      </x:c>
      <x:c r="O367" s="6" t="n">
        <x:v>6020.52</x:v>
      </x:c>
      <x:c r="P367" s="6" t="n">
        <x:v>2217.76</x:v>
      </x:c>
      <x:c r="Q367" s="1" t="n">
        <x:v>0</x:v>
      </x:c>
      <x:c r="R367" s="1" t="str">
        <x:v>Yes</x:v>
      </x:c>
      <x:c r="S367" s="7" t="n">
        <x:v>74.2</x:v>
      </x:c>
      <x:c r="T367" s="1" t="str">
        <x:v>Yes</x:v>
      </x:c>
      <x:c r="U367" s="1" t="str">
        <x:v>Completed</x:v>
      </x:c>
    </x:row>
    <x:row r="368">
      <x:c r="A368" s="1" t="str">
        <x:v>PUB-0367</x:v>
      </x:c>
      <x:c r="B368" s="5" t="n">
        <x:v>45973</x:v>
      </x:c>
      <x:c r="C368" s="5" t="n">
        <x:v>45982</x:v>
      </x:c>
      <x:c r="D368" s="5" t="str"/>
      <x:c r="E368" s="1" t="str">
        <x:v>Editorial</x:v>
      </x:c>
      <x:c r="F368" s="1" t="str">
        <x:v>Assessment</x:v>
      </x:c>
      <x:c r="G368" s="1" t="str">
        <x:v>Medium</x:v>
      </x:c>
      <x:c r="H368" s="1" t="str">
        <x:v>Manual</x:v>
      </x:c>
      <x:c r="I368" s="1" t="str">
        <x:v>Manual / NA</x:v>
      </x:c>
      <x:c r="J368" s="1" t="n">
        <x:v>18</x:v>
      </x:c>
      <x:c r="K368" s="6" t="n">
        <x:v>8</x:v>
      </x:c>
      <x:c r="L368" s="6" t="n">
        <x:v>7.8</x:v>
      </x:c>
      <x:c r="M368" s="6" t="n">
        <x:v>0</x:v>
      </x:c>
      <x:c r="N368" s="6" t="n">
        <x:v>7663.97</x:v>
      </x:c>
      <x:c r="O368" s="6" t="n">
        <x:v>7502.83</x:v>
      </x:c>
      <x:c r="P368" s="6" t="n">
        <x:v>0</x:v>
      </x:c>
      <x:c r="Q368" s="1" t="n">
        <x:v>1</x:v>
      </x:c>
      <x:c r="R368" s="1" t="str"/>
      <x:c r="S368" s="7" t="n">
        <x:v>81</x:v>
      </x:c>
      <x:c r="T368" s="1" t="str"/>
      <x:c r="U368" s="1" t="str">
        <x:v>In Review</x:v>
      </x:c>
    </x:row>
    <x:row r="369">
      <x:c r="A369" s="1" t="str">
        <x:v>PUB-0368</x:v>
      </x:c>
      <x:c r="B369" s="5" t="n">
        <x:v>45694</x:v>
      </x:c>
      <x:c r="C369" s="5" t="n">
        <x:v>45712</x:v>
      </x:c>
      <x:c r="D369" s="5" t="n">
        <x:v>45705</x:v>
      </x:c>
      <x:c r="E369" s="1" t="str">
        <x:v>Production</x:v>
      </x:c>
      <x:c r="F369" s="1" t="str">
        <x:v>Workbook</x:v>
      </x:c>
      <x:c r="G369" s="1" t="str">
        <x:v>High</x:v>
      </x:c>
      <x:c r="H369" s="1" t="str">
        <x:v>AI-Assisted</x:v>
      </x:c>
      <x:c r="I369" s="1" t="str">
        <x:v>Visual Brief</x:v>
      </x:c>
      <x:c r="J369" s="1" t="n">
        <x:v>145</x:v>
      </x:c>
      <x:c r="K369" s="6" t="n">
        <x:v>59.7</x:v>
      </x:c>
      <x:c r="L369" s="6" t="n">
        <x:v>88.4</x:v>
      </x:c>
      <x:c r="M369" s="6" t="n">
        <x:v>28.7</x:v>
      </x:c>
      <x:c r="N369" s="6" t="n">
        <x:v>66499.53</x:v>
      </x:c>
      <x:c r="O369" s="6" t="n">
        <x:v>98443.47</x:v>
      </x:c>
      <x:c r="P369" s="6" t="n">
        <x:v>31943.94</x:v>
      </x:c>
      <x:c r="Q369" s="1" t="n">
        <x:v>1</x:v>
      </x:c>
      <x:c r="R369" s="1" t="str">
        <x:v>No</x:v>
      </x:c>
      <x:c r="S369" s="7" t="n">
        <x:v>91.8</x:v>
      </x:c>
      <x:c r="T369" s="1" t="str">
        <x:v>Yes</x:v>
      </x:c>
      <x:c r="U369" s="1" t="str">
        <x:v>Completed</x:v>
      </x:c>
    </x:row>
    <x:row r="370">
      <x:c r="A370" s="1" t="str">
        <x:v>PUB-0369</x:v>
      </x:c>
      <x:c r="B370" s="5" t="n">
        <x:v>45677</x:v>
      </x:c>
      <x:c r="C370" s="5" t="n">
        <x:v>45685</x:v>
      </x:c>
      <x:c r="D370" s="5" t="n">
        <x:v>45679</x:v>
      </x:c>
      <x:c r="E370" s="1" t="str">
        <x:v>Editorial</x:v>
      </x:c>
      <x:c r="F370" s="1" t="str">
        <x:v>Illustration</x:v>
      </x:c>
      <x:c r="G370" s="1" t="str">
        <x:v>Low</x:v>
      </x:c>
      <x:c r="H370" s="1" t="str">
        <x:v>Manual</x:v>
      </x:c>
      <x:c r="I370" s="1" t="str">
        <x:v>Manual / NA</x:v>
      </x:c>
      <x:c r="J370" s="1" t="n">
        <x:v>49</x:v>
      </x:c>
      <x:c r="K370" s="6" t="n">
        <x:v>16.5</x:v>
      </x:c>
      <x:c r="L370" s="6" t="n">
        <x:v>15.8</x:v>
      </x:c>
      <x:c r="M370" s="6" t="n">
        <x:v>0</x:v>
      </x:c>
      <x:c r="N370" s="6" t="n">
        <x:v>13523.01</x:v>
      </x:c>
      <x:c r="O370" s="6" t="n">
        <x:v>12936.68</x:v>
      </x:c>
      <x:c r="P370" s="6" t="n">
        <x:v>0</x:v>
      </x:c>
      <x:c r="Q370" s="1" t="n">
        <x:v>0</x:v>
      </x:c>
      <x:c r="R370" s="1" t="str">
        <x:v>Yes</x:v>
      </x:c>
      <x:c r="S370" s="7" t="n">
        <x:v>81.8</x:v>
      </x:c>
      <x:c r="T370" s="1" t="str">
        <x:v>Yes</x:v>
      </x:c>
      <x:c r="U370" s="1" t="str">
        <x:v>Completed</x:v>
      </x:c>
    </x:row>
    <x:row r="371">
      <x:c r="A371" s="1" t="str">
        <x:v>PUB-0370</x:v>
      </x:c>
      <x:c r="B371" s="5" t="n">
        <x:v>45777</x:v>
      </x:c>
      <x:c r="C371" s="5" t="n">
        <x:v>45783</x:v>
      </x:c>
      <x:c r="D371" s="5" t="n">
        <x:v>45778</x:v>
      </x:c>
      <x:c r="E371" s="1" t="str">
        <x:v>Digital Learning</x:v>
      </x:c>
      <x:c r="F371" s="1" t="str">
        <x:v>Illustration</x:v>
      </x:c>
      <x:c r="G371" s="1" t="str">
        <x:v>Medium</x:v>
      </x:c>
      <x:c r="H371" s="1" t="str">
        <x:v>AI-Assisted</x:v>
      </x:c>
      <x:c r="I371" s="1" t="str">
        <x:v>Structured v3</x:v>
      </x:c>
      <x:c r="J371" s="1" t="n">
        <x:v>8</x:v>
      </x:c>
      <x:c r="K371" s="6" t="n">
        <x:v>2.1</x:v>
      </x:c>
      <x:c r="L371" s="6" t="n">
        <x:v>3</x:v>
      </x:c>
      <x:c r="M371" s="6" t="n">
        <x:v>0.9</x:v>
      </x:c>
      <x:c r="N371" s="6" t="n">
        <x:v>1755.16</x:v>
      </x:c>
      <x:c r="O371" s="6" t="n">
        <x:v>2534.76</x:v>
      </x:c>
      <x:c r="P371" s="6" t="n">
        <x:v>779.6</x:v>
      </x:c>
      <x:c r="Q371" s="1" t="n">
        <x:v>0</x:v>
      </x:c>
      <x:c r="R371" s="1" t="str">
        <x:v>Yes</x:v>
      </x:c>
      <x:c r="S371" s="7" t="n">
        <x:v>88.3</x:v>
      </x:c>
      <x:c r="T371" s="1" t="str">
        <x:v>Yes</x:v>
      </x:c>
      <x:c r="U371" s="1" t="str">
        <x:v>Completed</x:v>
      </x:c>
    </x:row>
    <x:row r="372">
      <x:c r="A372" s="1" t="str">
        <x:v>PUB-0371</x:v>
      </x:c>
      <x:c r="B372" s="5" t="n">
        <x:v>45837</x:v>
      </x:c>
      <x:c r="C372" s="5" t="n">
        <x:v>45847</x:v>
      </x:c>
      <x:c r="D372" s="5" t="n">
        <x:v>45844</x:v>
      </x:c>
      <x:c r="E372" s="1" t="str">
        <x:v>Editorial</x:v>
      </x:c>
      <x:c r="F372" s="1" t="str">
        <x:v>Illustration</x:v>
      </x:c>
      <x:c r="G372" s="1" t="str">
        <x:v>Medium</x:v>
      </x:c>
      <x:c r="H372" s="1" t="str">
        <x:v>Manual</x:v>
      </x:c>
      <x:c r="I372" s="1" t="str">
        <x:v>Manual / NA</x:v>
      </x:c>
      <x:c r="J372" s="1" t="n">
        <x:v>15</x:v>
      </x:c>
      <x:c r="K372" s="6" t="n">
        <x:v>5.4</x:v>
      </x:c>
      <x:c r="L372" s="6" t="n">
        <x:v>5.5</x:v>
      </x:c>
      <x:c r="M372" s="6" t="n">
        <x:v>0.1</x:v>
      </x:c>
      <x:c r="N372" s="6" t="n">
        <x:v>4860.15</x:v>
      </x:c>
      <x:c r="O372" s="6" t="n">
        <x:v>4934.21</x:v>
      </x:c>
      <x:c r="P372" s="6" t="n">
        <x:v>74.06</x:v>
      </x:c>
      <x:c r="Q372" s="1" t="n">
        <x:v>3</x:v>
      </x:c>
      <x:c r="R372" s="1" t="str">
        <x:v>No</x:v>
      </x:c>
      <x:c r="S372" s="7" t="n">
        <x:v>79.5</x:v>
      </x:c>
      <x:c r="T372" s="1" t="str">
        <x:v>Yes</x:v>
      </x:c>
      <x:c r="U372" s="1" t="str">
        <x:v>Completed</x:v>
      </x:c>
    </x:row>
    <x:row r="373">
      <x:c r="A373" s="1" t="str">
        <x:v>PUB-0372</x:v>
      </x:c>
      <x:c r="B373" s="5" t="n">
        <x:v>45758</x:v>
      </x:c>
      <x:c r="C373" s="5" t="n">
        <x:v>45769</x:v>
      </x:c>
      <x:c r="D373" s="5" t="n">
        <x:v>45764</x:v>
      </x:c>
      <x:c r="E373" s="1" t="str">
        <x:v>Digital Learning</x:v>
      </x:c>
      <x:c r="F373" s="1" t="str">
        <x:v>E-book</x:v>
      </x:c>
      <x:c r="G373" s="1" t="str">
        <x:v>Low</x:v>
      </x:c>
      <x:c r="H373" s="1" t="str">
        <x:v>AI-Assisted</x:v>
      </x:c>
      <x:c r="I373" s="1" t="str">
        <x:v>Structured v3</x:v>
      </x:c>
      <x:c r="J373" s="1" t="n">
        <x:v>193</x:v>
      </x:c>
      <x:c r="K373" s="6" t="n">
        <x:v>48.5</x:v>
      </x:c>
      <x:c r="L373" s="6" t="n">
        <x:v>70.5</x:v>
      </x:c>
      <x:c r="M373" s="6" t="n">
        <x:v>22</x:v>
      </x:c>
      <x:c r="N373" s="6" t="n">
        <x:v>34334.02</x:v>
      </x:c>
      <x:c r="O373" s="6" t="n">
        <x:v>49885.8</x:v>
      </x:c>
      <x:c r="P373" s="6" t="n">
        <x:v>15551.78</x:v>
      </x:c>
      <x:c r="Q373" s="1" t="n">
        <x:v>0</x:v>
      </x:c>
      <x:c r="R373" s="1" t="str">
        <x:v>Yes</x:v>
      </x:c>
      <x:c r="S373" s="7" t="n">
        <x:v>82.3</x:v>
      </x:c>
      <x:c r="T373" s="1" t="str">
        <x:v>Yes</x:v>
      </x:c>
      <x:c r="U373" s="1" t="str">
        <x:v>Completed</x:v>
      </x:c>
    </x:row>
    <x:row r="374">
      <x:c r="A374" s="1" t="str">
        <x:v>PUB-0373</x:v>
      </x:c>
      <x:c r="B374" s="5" t="n">
        <x:v>45747</x:v>
      </x:c>
      <x:c r="C374" s="5" t="n">
        <x:v>45764</x:v>
      </x:c>
      <x:c r="D374" s="5" t="n">
        <x:v>45754</x:v>
      </x:c>
      <x:c r="E374" s="1" t="str">
        <x:v>Design</x:v>
      </x:c>
      <x:c r="F374" s="1" t="str">
        <x:v>E-book</x:v>
      </x:c>
      <x:c r="G374" s="1" t="str">
        <x:v>Medium</x:v>
      </x:c>
      <x:c r="H374" s="1" t="str">
        <x:v>AI-Assisted</x:v>
      </x:c>
      <x:c r="I374" s="1" t="str">
        <x:v>Editorial QA</x:v>
      </x:c>
      <x:c r="J374" s="1" t="n">
        <x:v>198</x:v>
      </x:c>
      <x:c r="K374" s="6" t="n">
        <x:v>53.5</x:v>
      </x:c>
      <x:c r="L374" s="6" t="n">
        <x:v>96.4</x:v>
      </x:c>
      <x:c r="M374" s="6" t="n">
        <x:v>42.9</x:v>
      </x:c>
      <x:c r="N374" s="6" t="n">
        <x:v>58639.63</x:v>
      </x:c>
      <x:c r="O374" s="6" t="n">
        <x:v>105703.14</x:v>
      </x:c>
      <x:c r="P374" s="6" t="n">
        <x:v>47063.51</x:v>
      </x:c>
      <x:c r="Q374" s="1" t="n">
        <x:v>0</x:v>
      </x:c>
      <x:c r="R374" s="1" t="str">
        <x:v>Yes</x:v>
      </x:c>
      <x:c r="S374" s="7" t="n">
        <x:v>90.6</x:v>
      </x:c>
      <x:c r="T374" s="1" t="str">
        <x:v>Yes</x:v>
      </x:c>
      <x:c r="U374" s="1" t="str">
        <x:v>Completed</x:v>
      </x:c>
    </x:row>
    <x:row r="375">
      <x:c r="A375" s="1" t="str">
        <x:v>PUB-0374</x:v>
      </x:c>
      <x:c r="B375" s="5" t="n">
        <x:v>45937</x:v>
      </x:c>
      <x:c r="C375" s="5" t="n">
        <x:v>45952</x:v>
      </x:c>
      <x:c r="D375" s="5" t="n">
        <x:v>45941</x:v>
      </x:c>
      <x:c r="E375" s="1" t="str">
        <x:v>Editorial</x:v>
      </x:c>
      <x:c r="F375" s="1" t="str">
        <x:v>Workbook</x:v>
      </x:c>
      <x:c r="G375" s="1" t="str">
        <x:v>Low</x:v>
      </x:c>
      <x:c r="H375" s="1" t="str">
        <x:v>AI-Assisted</x:v>
      </x:c>
      <x:c r="I375" s="1" t="str">
        <x:v>Editorial QA</x:v>
      </x:c>
      <x:c r="J375" s="1" t="n">
        <x:v>139</x:v>
      </x:c>
      <x:c r="K375" s="6" t="n">
        <x:v>33.4</x:v>
      </x:c>
      <x:c r="L375" s="6" t="n">
        <x:v>54.6</x:v>
      </x:c>
      <x:c r="M375" s="6" t="n">
        <x:v>21.2</x:v>
      </x:c>
      <x:c r="N375" s="6" t="n">
        <x:v>26236.57</x:v>
      </x:c>
      <x:c r="O375" s="6" t="n">
        <x:v>42918.81</x:v>
      </x:c>
      <x:c r="P375" s="6" t="n">
        <x:v>16682.24</x:v>
      </x:c>
      <x:c r="Q375" s="1" t="n">
        <x:v>0</x:v>
      </x:c>
      <x:c r="R375" s="1" t="str">
        <x:v>Yes</x:v>
      </x:c>
      <x:c r="S375" s="7" t="n">
        <x:v>93.1</x:v>
      </x:c>
      <x:c r="T375" s="1" t="str">
        <x:v>Yes</x:v>
      </x:c>
      <x:c r="U375" s="1" t="str">
        <x:v>Completed</x:v>
      </x:c>
    </x:row>
    <x:row r="376">
      <x:c r="A376" s="1" t="str">
        <x:v>PUB-0375</x:v>
      </x:c>
      <x:c r="B376" s="5" t="n">
        <x:v>45833</x:v>
      </x:c>
      <x:c r="C376" s="5" t="n">
        <x:v>45842</x:v>
      </x:c>
      <x:c r="D376" s="5" t="n">
        <x:v>45837</x:v>
      </x:c>
      <x:c r="E376" s="1" t="str">
        <x:v>Editorial</x:v>
      </x:c>
      <x:c r="F376" s="1" t="str">
        <x:v>Assessment</x:v>
      </x:c>
      <x:c r="G376" s="1" t="str">
        <x:v>Low</x:v>
      </x:c>
      <x:c r="H376" s="1" t="str">
        <x:v>AI-Assisted</x:v>
      </x:c>
      <x:c r="I376" s="1" t="str">
        <x:v>Few-shot v2</x:v>
      </x:c>
      <x:c r="J376" s="1" t="n">
        <x:v>20</x:v>
      </x:c>
      <x:c r="K376" s="6" t="n">
        <x:v>4.5</x:v>
      </x:c>
      <x:c r="L376" s="6" t="n">
        <x:v>9.2</x:v>
      </x:c>
      <x:c r="M376" s="6" t="n">
        <x:v>4.7</x:v>
      </x:c>
      <x:c r="N376" s="6" t="n">
        <x:v>3788.1</x:v>
      </x:c>
      <x:c r="O376" s="6" t="n">
        <x:v>7713.48</x:v>
      </x:c>
      <x:c r="P376" s="6" t="n">
        <x:v>3925.38</x:v>
      </x:c>
      <x:c r="Q376" s="1" t="n">
        <x:v>1</x:v>
      </x:c>
      <x:c r="R376" s="1" t="str">
        <x:v>No</x:v>
      </x:c>
      <x:c r="S376" s="7" t="n">
        <x:v>84.1</x:v>
      </x:c>
      <x:c r="T376" s="1" t="str">
        <x:v>Yes</x:v>
      </x:c>
      <x:c r="U376" s="1" t="str">
        <x:v>Completed</x:v>
      </x:c>
    </x:row>
    <x:row r="377">
      <x:c r="A377" s="1" t="str">
        <x:v>PUB-0376</x:v>
      </x:c>
      <x:c r="B377" s="5" t="n">
        <x:v>46022</x:v>
      </x:c>
      <x:c r="C377" s="5" t="n">
        <x:v>46031</x:v>
      </x:c>
      <x:c r="D377" s="5" t="n">
        <x:v>46023</x:v>
      </x:c>
      <x:c r="E377" s="1" t="str">
        <x:v>Editorial</x:v>
      </x:c>
      <x:c r="F377" s="1" t="str">
        <x:v>Illustration</x:v>
      </x:c>
      <x:c r="G377" s="1" t="str">
        <x:v>High</x:v>
      </x:c>
      <x:c r="H377" s="1" t="str">
        <x:v>AI-Assisted</x:v>
      </x:c>
      <x:c r="I377" s="1" t="str">
        <x:v>Editorial QA</x:v>
      </x:c>
      <x:c r="J377" s="1" t="n">
        <x:v>14</x:v>
      </x:c>
      <x:c r="K377" s="6" t="n">
        <x:v>5.8</x:v>
      </x:c>
      <x:c r="L377" s="6" t="n">
        <x:v>9.7</x:v>
      </x:c>
      <x:c r="M377" s="6" t="n">
        <x:v>3.9</x:v>
      </x:c>
      <x:c r="N377" s="6" t="n">
        <x:v>4152.21</x:v>
      </x:c>
      <x:c r="O377" s="6" t="n">
        <x:v>6962.35</x:v>
      </x:c>
      <x:c r="P377" s="6" t="n">
        <x:v>2810.14</x:v>
      </x:c>
      <x:c r="Q377" s="1" t="n">
        <x:v>0</x:v>
      </x:c>
      <x:c r="R377" s="1" t="str">
        <x:v>Yes</x:v>
      </x:c>
      <x:c r="S377" s="7" t="n">
        <x:v>77.9</x:v>
      </x:c>
      <x:c r="T377" s="1" t="str">
        <x:v>Yes</x:v>
      </x:c>
      <x:c r="U377" s="1" t="str">
        <x:v>Completed</x:v>
      </x:c>
    </x:row>
    <x:row r="378">
      <x:c r="A378" s="1" t="str">
        <x:v>PUB-0377</x:v>
      </x:c>
      <x:c r="B378" s="5" t="n">
        <x:v>45975</x:v>
      </x:c>
      <x:c r="C378" s="5" t="n">
        <x:v>45985</x:v>
      </x:c>
      <x:c r="D378" s="5" t="n">
        <x:v>45976</x:v>
      </x:c>
      <x:c r="E378" s="1" t="str">
        <x:v>Production</x:v>
      </x:c>
      <x:c r="F378" s="1" t="str">
        <x:v>Illustration</x:v>
      </x:c>
      <x:c r="G378" s="1" t="str">
        <x:v>Low</x:v>
      </x:c>
      <x:c r="H378" s="1" t="str">
        <x:v>AI-Assisted</x:v>
      </x:c>
      <x:c r="I378" s="1" t="str">
        <x:v>Structured v3</x:v>
      </x:c>
      <x:c r="J378" s="1" t="n">
        <x:v>32</x:v>
      </x:c>
      <x:c r="K378" s="6" t="n">
        <x:v>7.9</x:v>
      </x:c>
      <x:c r="L378" s="6" t="n">
        <x:v>14.6</x:v>
      </x:c>
      <x:c r="M378" s="6" t="n">
        <x:v>6.7</x:v>
      </x:c>
      <x:c r="N378" s="6" t="n">
        <x:v>6570.62</x:v>
      </x:c>
      <x:c r="O378" s="6" t="n">
        <x:v>12157.4</x:v>
      </x:c>
      <x:c r="P378" s="6" t="n">
        <x:v>5586.78</x:v>
      </x:c>
      <x:c r="Q378" s="1" t="n">
        <x:v>0</x:v>
      </x:c>
      <x:c r="R378" s="1" t="str">
        <x:v>Yes</x:v>
      </x:c>
      <x:c r="S378" s="7" t="n">
        <x:v>93.3</x:v>
      </x:c>
      <x:c r="T378" s="1" t="str">
        <x:v>Yes</x:v>
      </x:c>
      <x:c r="U378" s="1" t="str">
        <x:v>Completed</x:v>
      </x:c>
    </x:row>
    <x:row r="379">
      <x:c r="A379" s="1" t="str">
        <x:v>PUB-0378</x:v>
      </x:c>
      <x:c r="B379" s="5" t="n">
        <x:v>45688</x:v>
      </x:c>
      <x:c r="C379" s="5" t="n">
        <x:v>45703</x:v>
      </x:c>
      <x:c r="D379" s="5" t="n">
        <x:v>45692</x:v>
      </x:c>
      <x:c r="E379" s="1" t="str">
        <x:v>Editorial</x:v>
      </x:c>
      <x:c r="F379" s="1" t="str">
        <x:v>School Textbook</x:v>
      </x:c>
      <x:c r="G379" s="1" t="str">
        <x:v>High</x:v>
      </x:c>
      <x:c r="H379" s="1" t="str">
        <x:v>AI-Assisted</x:v>
      </x:c>
      <x:c r="I379" s="1" t="str">
        <x:v>Visual Brief</x:v>
      </x:c>
      <x:c r="J379" s="1" t="n">
        <x:v>80</x:v>
      </x:c>
      <x:c r="K379" s="6" t="n">
        <x:v>26.6</x:v>
      </x:c>
      <x:c r="L379" s="6" t="n">
        <x:v>52.1</x:v>
      </x:c>
      <x:c r="M379" s="6" t="n">
        <x:v>25.5</x:v>
      </x:c>
      <x:c r="N379" s="6" t="n">
        <x:v>18659</x:v>
      </x:c>
      <x:c r="O379" s="6" t="n">
        <x:v>36517.17</x:v>
      </x:c>
      <x:c r="P379" s="6" t="n">
        <x:v>17858.17</x:v>
      </x:c>
      <x:c r="Q379" s="1" t="n">
        <x:v>0</x:v>
      </x:c>
      <x:c r="R379" s="1" t="str">
        <x:v>Yes</x:v>
      </x:c>
      <x:c r="S379" s="7" t="n">
        <x:v>86.6</x:v>
      </x:c>
      <x:c r="T379" s="1" t="str">
        <x:v>Yes</x:v>
      </x:c>
      <x:c r="U379" s="1" t="str">
        <x:v>Completed</x:v>
      </x:c>
    </x:row>
    <x:row r="380">
      <x:c r="A380" s="1" t="str">
        <x:v>PUB-0379</x:v>
      </x:c>
      <x:c r="B380" s="5" t="n">
        <x:v>45730</x:v>
      </x:c>
      <x:c r="C380" s="5" t="n">
        <x:v>45738</x:v>
      </x:c>
      <x:c r="D380" s="5" t="n">
        <x:v>45732</x:v>
      </x:c>
      <x:c r="E380" s="1" t="str">
        <x:v>Digital Learning</x:v>
      </x:c>
      <x:c r="F380" s="1" t="str">
        <x:v>Assessment</x:v>
      </x:c>
      <x:c r="G380" s="1" t="str">
        <x:v>Medium</x:v>
      </x:c>
      <x:c r="H380" s="1" t="str">
        <x:v>AI-Assisted</x:v>
      </x:c>
      <x:c r="I380" s="1" t="str">
        <x:v>Few-shot v2</x:v>
      </x:c>
      <x:c r="J380" s="1" t="n">
        <x:v>35</x:v>
      </x:c>
      <x:c r="K380" s="6" t="n">
        <x:v>11.5</x:v>
      </x:c>
      <x:c r="L380" s="6" t="n">
        <x:v>20.1</x:v>
      </x:c>
      <x:c r="M380" s="6" t="n">
        <x:v>8.6</x:v>
      </x:c>
      <x:c r="N380" s="6" t="n">
        <x:v>9434.11</x:v>
      </x:c>
      <x:c r="O380" s="6" t="n">
        <x:v>16488.33</x:v>
      </x:c>
      <x:c r="P380" s="6" t="n">
        <x:v>7054.22</x:v>
      </x:c>
      <x:c r="Q380" s="1" t="n">
        <x:v>0</x:v>
      </x:c>
      <x:c r="R380" s="1" t="str">
        <x:v>Yes</x:v>
      </x:c>
      <x:c r="S380" s="7" t="n">
        <x:v>80.9</x:v>
      </x:c>
      <x:c r="T380" s="1" t="str">
        <x:v>Yes</x:v>
      </x:c>
      <x:c r="U380" s="1" t="str">
        <x:v>Completed</x:v>
      </x:c>
    </x:row>
    <x:row r="381">
      <x:c r="A381" s="1" t="str">
        <x:v>PUB-0380</x:v>
      </x:c>
      <x:c r="B381" s="5" t="n">
        <x:v>45899</x:v>
      </x:c>
      <x:c r="C381" s="5" t="n">
        <x:v>45907</x:v>
      </x:c>
      <x:c r="D381" s="5" t="n">
        <x:v>45902</x:v>
      </x:c>
      <x:c r="E381" s="1" t="str">
        <x:v>Editorial</x:v>
      </x:c>
      <x:c r="F381" s="1" t="str">
        <x:v>Illustration</x:v>
      </x:c>
      <x:c r="G381" s="1" t="str">
        <x:v>Low</x:v>
      </x:c>
      <x:c r="H381" s="1" t="str">
        <x:v>Manual</x:v>
      </x:c>
      <x:c r="I381" s="1" t="str">
        <x:v>Manual / NA</x:v>
      </x:c>
      <x:c r="J381" s="1" t="n">
        <x:v>66</x:v>
      </x:c>
      <x:c r="K381" s="6" t="n">
        <x:v>25.1</x:v>
      </x:c>
      <x:c r="L381" s="6" t="n">
        <x:v>26.6</x:v>
      </x:c>
      <x:c r="M381" s="6" t="n">
        <x:v>1.5</x:v>
      </x:c>
      <x:c r="N381" s="6" t="n">
        <x:v>17540.56</x:v>
      </x:c>
      <x:c r="O381" s="6" t="n">
        <x:v>18575.04</x:v>
      </x:c>
      <x:c r="P381" s="6" t="n">
        <x:v>1034.48</x:v>
      </x:c>
      <x:c r="Q381" s="1" t="n">
        <x:v>0</x:v>
      </x:c>
      <x:c r="R381" s="1" t="str">
        <x:v>Yes</x:v>
      </x:c>
      <x:c r="S381" s="7" t="n">
        <x:v>79.8</x:v>
      </x:c>
      <x:c r="T381" s="1" t="str">
        <x:v>Yes</x:v>
      </x:c>
      <x:c r="U381" s="1" t="str">
        <x:v>Completed</x:v>
      </x:c>
    </x:row>
    <x:row r="382">
      <x:c r="A382" s="1" t="str">
        <x:v>PUB-0381</x:v>
      </x:c>
      <x:c r="B382" s="5" t="n">
        <x:v>45769</x:v>
      </x:c>
      <x:c r="C382" s="5" t="n">
        <x:v>45774</x:v>
      </x:c>
      <x:c r="D382" s="5" t="n">
        <x:v>45772</x:v>
      </x:c>
      <x:c r="E382" s="1" t="str">
        <x:v>Production</x:v>
      </x:c>
      <x:c r="F382" s="1" t="str">
        <x:v>Assessment</x:v>
      </x:c>
      <x:c r="G382" s="1" t="str">
        <x:v>Medium</x:v>
      </x:c>
      <x:c r="H382" s="1" t="str">
        <x:v>Manual</x:v>
      </x:c>
      <x:c r="I382" s="1" t="str">
        <x:v>Manual / NA</x:v>
      </x:c>
      <x:c r="J382" s="1" t="n">
        <x:v>45</x:v>
      </x:c>
      <x:c r="K382" s="6" t="n">
        <x:v>20.4</x:v>
      </x:c>
      <x:c r="L382" s="6" t="n">
        <x:v>22.7</x:v>
      </x:c>
      <x:c r="M382" s="6" t="n">
        <x:v>2.3</x:v>
      </x:c>
      <x:c r="N382" s="6" t="n">
        <x:v>21593.74</x:v>
      </x:c>
      <x:c r="O382" s="6" t="n">
        <x:v>24066.05</x:v>
      </x:c>
      <x:c r="P382" s="6" t="n">
        <x:v>2472.31</x:v>
      </x:c>
      <x:c r="Q382" s="1" t="n">
        <x:v>0</x:v>
      </x:c>
      <x:c r="R382" s="1" t="str">
        <x:v>Yes</x:v>
      </x:c>
      <x:c r="S382" s="7" t="n">
        <x:v>91.4</x:v>
      </x:c>
      <x:c r="T382" s="1" t="str">
        <x:v>Yes</x:v>
      </x:c>
      <x:c r="U382" s="1" t="str">
        <x:v>Completed</x:v>
      </x:c>
    </x:row>
    <x:row r="383">
      <x:c r="A383" s="1" t="str">
        <x:v>PUB-0382</x:v>
      </x:c>
      <x:c r="B383" s="5" t="n">
        <x:v>46121</x:v>
      </x:c>
      <x:c r="C383" s="5" t="n">
        <x:v>46140</x:v>
      </x:c>
      <x:c r="D383" s="5" t="str"/>
      <x:c r="E383" s="1" t="str">
        <x:v>Design</x:v>
      </x:c>
      <x:c r="F383" s="1" t="str">
        <x:v>Workbook</x:v>
      </x:c>
      <x:c r="G383" s="1" t="str">
        <x:v>High</x:v>
      </x:c>
      <x:c r="H383" s="1" t="str">
        <x:v>AI-Assisted</x:v>
      </x:c>
      <x:c r="I383" s="1" t="str">
        <x:v>Structured v3</x:v>
      </x:c>
      <x:c r="J383" s="1" t="n">
        <x:v>182</x:v>
      </x:c>
      <x:c r="K383" s="6" t="n">
        <x:v>68.6</x:v>
      </x:c>
      <x:c r="L383" s="6" t="n">
        <x:v>102.3</x:v>
      </x:c>
      <x:c r="M383" s="6" t="n">
        <x:v>33.7</x:v>
      </x:c>
      <x:c r="N383" s="6" t="n">
        <x:v>67898.87</x:v>
      </x:c>
      <x:c r="O383" s="6" t="n">
        <x:v>101282.4</x:v>
      </x:c>
      <x:c r="P383" s="6" t="n">
        <x:v>33383.53</x:v>
      </x:c>
      <x:c r="Q383" s="1" t="n">
        <x:v>0</x:v>
      </x:c>
      <x:c r="R383" s="1" t="str"/>
      <x:c r="S383" s="7" t="n">
        <x:v>84.5</x:v>
      </x:c>
      <x:c r="T383" s="1" t="str"/>
      <x:c r="U383" s="1" t="str">
        <x:v>In Progress</x:v>
      </x:c>
    </x:row>
    <x:row r="384">
      <x:c r="A384" s="1" t="str">
        <x:v>PUB-0383</x:v>
      </x:c>
      <x:c r="B384" s="5" t="n">
        <x:v>46010</x:v>
      </x:c>
      <x:c r="C384" s="5" t="n">
        <x:v>46016</x:v>
      </x:c>
      <x:c r="D384" s="5" t="n">
        <x:v>46012</x:v>
      </x:c>
      <x:c r="E384" s="1" t="str">
        <x:v>Digital Learning</x:v>
      </x:c>
      <x:c r="F384" s="1" t="str">
        <x:v>Assessment</x:v>
      </x:c>
      <x:c r="G384" s="1" t="str">
        <x:v>High</x:v>
      </x:c>
      <x:c r="H384" s="1" t="str">
        <x:v>AI-Assisted</x:v>
      </x:c>
      <x:c r="I384" s="1" t="str">
        <x:v>Few-shot v2</x:v>
      </x:c>
      <x:c r="J384" s="1" t="n">
        <x:v>20</x:v>
      </x:c>
      <x:c r="K384" s="6" t="n">
        <x:v>6.9</x:v>
      </x:c>
      <x:c r="L384" s="6" t="n">
        <x:v>9.9</x:v>
      </x:c>
      <x:c r="M384" s="6" t="n">
        <x:v>3</x:v>
      </x:c>
      <x:c r="N384" s="6" t="n">
        <x:v>7824.25</x:v>
      </x:c>
      <x:c r="O384" s="6" t="n">
        <x:v>11188.09</x:v>
      </x:c>
      <x:c r="P384" s="6" t="n">
        <x:v>3363.84</x:v>
      </x:c>
      <x:c r="Q384" s="1" t="n">
        <x:v>1</x:v>
      </x:c>
      <x:c r="R384" s="1" t="str">
        <x:v>No</x:v>
      </x:c>
      <x:c r="S384" s="7" t="n">
        <x:v>90</x:v>
      </x:c>
      <x:c r="T384" s="1" t="str">
        <x:v>Yes</x:v>
      </x:c>
      <x:c r="U384" s="1" t="str">
        <x:v>Completed</x:v>
      </x:c>
    </x:row>
    <x:row r="385">
      <x:c r="A385" s="1" t="str">
        <x:v>PUB-0384</x:v>
      </x:c>
      <x:c r="B385" s="5" t="n">
        <x:v>46061</x:v>
      </x:c>
      <x:c r="C385" s="5" t="n">
        <x:v>46071</x:v>
      </x:c>
      <x:c r="D385" s="5" t="n">
        <x:v>46062</x:v>
      </x:c>
      <x:c r="E385" s="1" t="str">
        <x:v>Production</x:v>
      </x:c>
      <x:c r="F385" s="1" t="str">
        <x:v>Illustration</x:v>
      </x:c>
      <x:c r="G385" s="1" t="str">
        <x:v>Medium</x:v>
      </x:c>
      <x:c r="H385" s="1" t="str">
        <x:v>AI-Assisted</x:v>
      </x:c>
      <x:c r="I385" s="1" t="str">
        <x:v>Few-shot v2</x:v>
      </x:c>
      <x:c r="J385" s="1" t="n">
        <x:v>31</x:v>
      </x:c>
      <x:c r="K385" s="6" t="n">
        <x:v>7.6</x:v>
      </x:c>
      <x:c r="L385" s="6" t="n">
        <x:v>14.4</x:v>
      </x:c>
      <x:c r="M385" s="6" t="n">
        <x:v>6.8</x:v>
      </x:c>
      <x:c r="N385" s="6" t="n">
        <x:v>6401.46</x:v>
      </x:c>
      <x:c r="O385" s="6" t="n">
        <x:v>12127.92</x:v>
      </x:c>
      <x:c r="P385" s="6" t="n">
        <x:v>5726.46</x:v>
      </x:c>
      <x:c r="Q385" s="1" t="n">
        <x:v>0</x:v>
      </x:c>
      <x:c r="R385" s="1" t="str">
        <x:v>Yes</x:v>
      </x:c>
      <x:c r="S385" s="7" t="n">
        <x:v>88.6</x:v>
      </x:c>
      <x:c r="T385" s="1" t="str">
        <x:v>Yes</x:v>
      </x:c>
      <x:c r="U385" s="1" t="str">
        <x:v>Completed</x:v>
      </x:c>
    </x:row>
    <x:row r="386">
      <x:c r="A386" s="1" t="str">
        <x:v>PUB-0385</x:v>
      </x:c>
      <x:c r="B386" s="5" t="n">
        <x:v>45786</x:v>
      </x:c>
      <x:c r="C386" s="5" t="n">
        <x:v>45803</x:v>
      </x:c>
      <x:c r="D386" s="5" t="str"/>
      <x:c r="E386" s="1" t="str">
        <x:v>Editorial</x:v>
      </x:c>
      <x:c r="F386" s="1" t="str">
        <x:v>School Textbook</x:v>
      </x:c>
      <x:c r="G386" s="1" t="str">
        <x:v>Medium</x:v>
      </x:c>
      <x:c r="H386" s="1" t="str">
        <x:v>AI-Assisted</x:v>
      </x:c>
      <x:c r="I386" s="1" t="str">
        <x:v>Editorial QA</x:v>
      </x:c>
      <x:c r="J386" s="1" t="n">
        <x:v>132</x:v>
      </x:c>
      <x:c r="K386" s="6" t="n">
        <x:v>38.9</x:v>
      </x:c>
      <x:c r="L386" s="6" t="n">
        <x:v>75.8</x:v>
      </x:c>
      <x:c r="M386" s="6" t="n">
        <x:v>36.9</x:v>
      </x:c>
      <x:c r="N386" s="6" t="n">
        <x:v>27953.93</x:v>
      </x:c>
      <x:c r="O386" s="6" t="n">
        <x:v>54494.56</x:v>
      </x:c>
      <x:c r="P386" s="6" t="n">
        <x:v>26540.63</x:v>
      </x:c>
      <x:c r="Q386" s="1" t="n">
        <x:v>0</x:v>
      </x:c>
      <x:c r="R386" s="1" t="str"/>
      <x:c r="S386" s="7" t="n">
        <x:v>96.4</x:v>
      </x:c>
      <x:c r="T386" s="1" t="str"/>
      <x:c r="U386" s="1" t="str">
        <x:v>In Review</x:v>
      </x:c>
    </x:row>
    <x:row r="387">
      <x:c r="A387" s="1" t="str">
        <x:v>PUB-0386</x:v>
      </x:c>
      <x:c r="B387" s="5" t="n">
        <x:v>45842</x:v>
      </x:c>
      <x:c r="C387" s="5" t="n">
        <x:v>45851</x:v>
      </x:c>
      <x:c r="D387" s="5" t="n">
        <x:v>45848</x:v>
      </x:c>
      <x:c r="E387" s="1" t="str">
        <x:v>Design</x:v>
      </x:c>
      <x:c r="F387" s="1" t="str">
        <x:v>Workbook</x:v>
      </x:c>
      <x:c r="G387" s="1" t="str">
        <x:v>Medium</x:v>
      </x:c>
      <x:c r="H387" s="1" t="str">
        <x:v>Manual</x:v>
      </x:c>
      <x:c r="I387" s="1" t="str">
        <x:v>Manual / NA</x:v>
      </x:c>
      <x:c r="J387" s="1" t="n">
        <x:v>106</x:v>
      </x:c>
      <x:c r="K387" s="6" t="n">
        <x:v>42.5</x:v>
      </x:c>
      <x:c r="L387" s="6" t="n">
        <x:v>42.5</x:v>
      </x:c>
      <x:c r="M387" s="6" t="n">
        <x:v>0</x:v>
      </x:c>
      <x:c r="N387" s="6" t="n">
        <x:v>39906.19</x:v>
      </x:c>
      <x:c r="O387" s="6" t="n">
        <x:v>39899.29</x:v>
      </x:c>
      <x:c r="P387" s="6" t="n">
        <x:v>0</x:v>
      </x:c>
      <x:c r="Q387" s="1" t="n">
        <x:v>0</x:v>
      </x:c>
      <x:c r="R387" s="1" t="str">
        <x:v>Yes</x:v>
      </x:c>
      <x:c r="S387" s="7" t="n">
        <x:v>76</x:v>
      </x:c>
      <x:c r="T387" s="1" t="str">
        <x:v>Yes</x:v>
      </x:c>
      <x:c r="U387" s="1" t="str">
        <x:v>Completed</x:v>
      </x:c>
    </x:row>
    <x:row r="388">
      <x:c r="A388" s="1" t="str">
        <x:v>PUB-0387</x:v>
      </x:c>
      <x:c r="B388" s="5" t="n">
        <x:v>46078</x:v>
      </x:c>
      <x:c r="C388" s="5" t="n">
        <x:v>46089</x:v>
      </x:c>
      <x:c r="D388" s="5" t="n">
        <x:v>46080</x:v>
      </x:c>
      <x:c r="E388" s="1" t="str">
        <x:v>Digital Learning</x:v>
      </x:c>
      <x:c r="F388" s="1" t="str">
        <x:v>Assessment</x:v>
      </x:c>
      <x:c r="G388" s="1" t="str">
        <x:v>Medium</x:v>
      </x:c>
      <x:c r="H388" s="1" t="str">
        <x:v>AI-Assisted</x:v>
      </x:c>
      <x:c r="I388" s="1" t="str">
        <x:v>Structured v3</x:v>
      </x:c>
      <x:c r="J388" s="1" t="n">
        <x:v>65</x:v>
      </x:c>
      <x:c r="K388" s="6" t="n">
        <x:v>14.9</x:v>
      </x:c>
      <x:c r="L388" s="6" t="n">
        <x:v>25</x:v>
      </x:c>
      <x:c r="M388" s="6" t="n">
        <x:v>10.1</x:v>
      </x:c>
      <x:c r="N388" s="6" t="n">
        <x:v>14829.2</x:v>
      </x:c>
      <x:c r="O388" s="6" t="n">
        <x:v>24899.38</x:v>
      </x:c>
      <x:c r="P388" s="6" t="n">
        <x:v>10070.18</x:v>
      </x:c>
      <x:c r="Q388" s="1" t="n">
        <x:v>0</x:v>
      </x:c>
      <x:c r="R388" s="1" t="str">
        <x:v>Yes</x:v>
      </x:c>
      <x:c r="S388" s="7" t="n">
        <x:v>87.2</x:v>
      </x:c>
      <x:c r="T388" s="1" t="str">
        <x:v>Yes</x:v>
      </x:c>
      <x:c r="U388" s="1" t="str">
        <x:v>Completed</x:v>
      </x:c>
    </x:row>
    <x:row r="389">
      <x:c r="A389" s="1" t="str">
        <x:v>PUB-0388</x:v>
      </x:c>
      <x:c r="B389" s="5" t="n">
        <x:v>45738</x:v>
      </x:c>
      <x:c r="C389" s="5" t="n">
        <x:v>45746</x:v>
      </x:c>
      <x:c r="D389" s="5" t="n">
        <x:v>45739</x:v>
      </x:c>
      <x:c r="E389" s="1" t="str">
        <x:v>Design</x:v>
      </x:c>
      <x:c r="F389" s="1" t="str">
        <x:v>Assessment</x:v>
      </x:c>
      <x:c r="G389" s="1" t="str">
        <x:v>Medium</x:v>
      </x:c>
      <x:c r="H389" s="1" t="str">
        <x:v>AI-Assisted</x:v>
      </x:c>
      <x:c r="I389" s="1" t="str">
        <x:v>Editorial QA</x:v>
      </x:c>
      <x:c r="J389" s="1" t="n">
        <x:v>13</x:v>
      </x:c>
      <x:c r="K389" s="6" t="n">
        <x:v>3.9</x:v>
      </x:c>
      <x:c r="L389" s="6" t="n">
        <x:v>6.2</x:v>
      </x:c>
      <x:c r="M389" s="6" t="n">
        <x:v>2.3</x:v>
      </x:c>
      <x:c r="N389" s="6" t="n">
        <x:v>3730.43</x:v>
      </x:c>
      <x:c r="O389" s="6" t="n">
        <x:v>5951.56</x:v>
      </x:c>
      <x:c r="P389" s="6" t="n">
        <x:v>2221.13</x:v>
      </x:c>
      <x:c r="Q389" s="1" t="n">
        <x:v>0</x:v>
      </x:c>
      <x:c r="R389" s="1" t="str">
        <x:v>Yes</x:v>
      </x:c>
      <x:c r="S389" s="7" t="n">
        <x:v>73.3</x:v>
      </x:c>
      <x:c r="T389" s="1" t="str">
        <x:v>Yes</x:v>
      </x:c>
      <x:c r="U389" s="1" t="str">
        <x:v>Completed</x:v>
      </x:c>
    </x:row>
    <x:row r="390">
      <x:c r="A390" s="1" t="str">
        <x:v>PUB-0389</x:v>
      </x:c>
      <x:c r="B390" s="5" t="n">
        <x:v>46182</x:v>
      </x:c>
      <x:c r="C390" s="5" t="n">
        <x:v>46189</x:v>
      </x:c>
      <x:c r="D390" s="5" t="n">
        <x:v>46183</x:v>
      </x:c>
      <x:c r="E390" s="1" t="str">
        <x:v>Digital Learning</x:v>
      </x:c>
      <x:c r="F390" s="1" t="str">
        <x:v>Assessment</x:v>
      </x:c>
      <x:c r="G390" s="1" t="str">
        <x:v>Medium</x:v>
      </x:c>
      <x:c r="H390" s="1" t="str">
        <x:v>AI-Assisted</x:v>
      </x:c>
      <x:c r="I390" s="1" t="str">
        <x:v>Few-shot v2</x:v>
      </x:c>
      <x:c r="J390" s="1" t="n">
        <x:v>41</x:v>
      </x:c>
      <x:c r="K390" s="6" t="n">
        <x:v>10.6</x:v>
      </x:c>
      <x:c r="L390" s="6" t="n">
        <x:v>15.1</x:v>
      </x:c>
      <x:c r="M390" s="6" t="n">
        <x:v>4.5</x:v>
      </x:c>
      <x:c r="N390" s="6" t="n">
        <x:v>10861.95</x:v>
      </x:c>
      <x:c r="O390" s="6" t="n">
        <x:v>15451.28</x:v>
      </x:c>
      <x:c r="P390" s="6" t="n">
        <x:v>4589.33</x:v>
      </x:c>
      <x:c r="Q390" s="1" t="n">
        <x:v>0</x:v>
      </x:c>
      <x:c r="R390" s="1" t="str">
        <x:v>Yes</x:v>
      </x:c>
      <x:c r="S390" s="7" t="n">
        <x:v>87.2</x:v>
      </x:c>
      <x:c r="T390" s="1" t="str">
        <x:v>Yes</x:v>
      </x:c>
      <x:c r="U390" s="1" t="str">
        <x:v>Completed</x:v>
      </x:c>
    </x:row>
    <x:row r="391">
      <x:c r="A391" s="1" t="str">
        <x:v>PUB-0390</x:v>
      </x:c>
      <x:c r="B391" s="5" t="n">
        <x:v>45710</x:v>
      </x:c>
      <x:c r="C391" s="5" t="n">
        <x:v>45715</x:v>
      </x:c>
      <x:c r="D391" s="5" t="n">
        <x:v>45711</x:v>
      </x:c>
      <x:c r="E391" s="1" t="str">
        <x:v>Production</x:v>
      </x:c>
      <x:c r="F391" s="1" t="str">
        <x:v>Workbook</x:v>
      </x:c>
      <x:c r="G391" s="1" t="str">
        <x:v>Medium</x:v>
      </x:c>
      <x:c r="H391" s="1" t="str">
        <x:v>Manual</x:v>
      </x:c>
      <x:c r="I391" s="1" t="str">
        <x:v>Manual / NA</x:v>
      </x:c>
      <x:c r="J391" s="1" t="n">
        <x:v>14</x:v>
      </x:c>
      <x:c r="K391" s="6" t="n">
        <x:v>5.2</x:v>
      </x:c>
      <x:c r="L391" s="6" t="n">
        <x:v>5.3</x:v>
      </x:c>
      <x:c r="M391" s="6" t="n">
        <x:v>0.1</x:v>
      </x:c>
      <x:c r="N391" s="6" t="n">
        <x:v>5593.76</x:v>
      </x:c>
      <x:c r="O391" s="6" t="n">
        <x:v>5695.02</x:v>
      </x:c>
      <x:c r="P391" s="6" t="n">
        <x:v>101.26</x:v>
      </x:c>
      <x:c r="Q391" s="1" t="n">
        <x:v>0</x:v>
      </x:c>
      <x:c r="R391" s="1" t="str">
        <x:v>Yes</x:v>
      </x:c>
      <x:c r="S391" s="7" t="n">
        <x:v>84.2</x:v>
      </x:c>
      <x:c r="T391" s="1" t="str">
        <x:v>Yes</x:v>
      </x:c>
      <x:c r="U391" s="1" t="str">
        <x:v>Completed</x:v>
      </x:c>
    </x:row>
    <x:row r="392">
      <x:c r="A392" s="1" t="str">
        <x:v>PUB-0391</x:v>
      </x:c>
      <x:c r="B392" s="5" t="n">
        <x:v>45921</x:v>
      </x:c>
      <x:c r="C392" s="5" t="n">
        <x:v>45926</x:v>
      </x:c>
      <x:c r="D392" s="5" t="str"/>
      <x:c r="E392" s="1" t="str">
        <x:v>Editorial</x:v>
      </x:c>
      <x:c r="F392" s="1" t="str">
        <x:v>School Textbook</x:v>
      </x:c>
      <x:c r="G392" s="1" t="str">
        <x:v>Medium</x:v>
      </x:c>
      <x:c r="H392" s="1" t="str">
        <x:v>AI-Assisted</x:v>
      </x:c>
      <x:c r="I392" s="1" t="str">
        <x:v>Editorial QA</x:v>
      </x:c>
      <x:c r="J392" s="1" t="n">
        <x:v>46</x:v>
      </x:c>
      <x:c r="K392" s="6" t="n">
        <x:v>10.6</x:v>
      </x:c>
      <x:c r="L392" s="6" t="n">
        <x:v>20.3</x:v>
      </x:c>
      <x:c r="M392" s="6" t="n">
        <x:v>9.7</x:v>
      </x:c>
      <x:c r="N392" s="6" t="n">
        <x:v>11037.4</x:v>
      </x:c>
      <x:c r="O392" s="6" t="n">
        <x:v>21139.78</x:v>
      </x:c>
      <x:c r="P392" s="6" t="n">
        <x:v>10102.38</x:v>
      </x:c>
      <x:c r="Q392" s="1" t="n">
        <x:v>0</x:v>
      </x:c>
      <x:c r="R392" s="1" t="str"/>
      <x:c r="S392" s="7" t="n">
        <x:v>91.8</x:v>
      </x:c>
      <x:c r="T392" s="1" t="str"/>
      <x:c r="U392" s="1" t="str">
        <x:v>In Progress</x:v>
      </x:c>
    </x:row>
    <x:row r="393">
      <x:c r="A393" s="1" t="str">
        <x:v>PUB-0392</x:v>
      </x:c>
      <x:c r="B393" s="5" t="n">
        <x:v>45806</x:v>
      </x:c>
      <x:c r="C393" s="5" t="n">
        <x:v>45814</x:v>
      </x:c>
      <x:c r="D393" s="5" t="n">
        <x:v>45812</x:v>
      </x:c>
      <x:c r="E393" s="1" t="str">
        <x:v>Production</x:v>
      </x:c>
      <x:c r="F393" s="1" t="str">
        <x:v>Illustration</x:v>
      </x:c>
      <x:c r="G393" s="1" t="str">
        <x:v>High</x:v>
      </x:c>
      <x:c r="H393" s="1" t="str">
        <x:v>Manual</x:v>
      </x:c>
      <x:c r="I393" s="1" t="str">
        <x:v>Manual / NA</x:v>
      </x:c>
      <x:c r="J393" s="1" t="n">
        <x:v>56</x:v>
      </x:c>
      <x:c r="K393" s="6" t="n">
        <x:v>29.5</x:v>
      </x:c>
      <x:c r="L393" s="6" t="n">
        <x:v>30.5</x:v>
      </x:c>
      <x:c r="M393" s="6" t="n">
        <x:v>1</x:v>
      </x:c>
      <x:c r="N393" s="6" t="n">
        <x:v>28579.23</x:v>
      </x:c>
      <x:c r="O393" s="6" t="n">
        <x:v>29529.41</x:v>
      </x:c>
      <x:c r="P393" s="6" t="n">
        <x:v>950.18</x:v>
      </x:c>
      <x:c r="Q393" s="1" t="n">
        <x:v>2</x:v>
      </x:c>
      <x:c r="R393" s="1" t="str">
        <x:v>No</x:v>
      </x:c>
      <x:c r="S393" s="7" t="n">
        <x:v>87.9</x:v>
      </x:c>
      <x:c r="T393" s="1" t="str">
        <x:v>Yes</x:v>
      </x:c>
      <x:c r="U393" s="1" t="str">
        <x:v>Completed</x:v>
      </x:c>
    </x:row>
    <x:row r="394">
      <x:c r="A394" s="1" t="str">
        <x:v>PUB-0393</x:v>
      </x:c>
      <x:c r="B394" s="5" t="n">
        <x:v>45776</x:v>
      </x:c>
      <x:c r="C394" s="5" t="n">
        <x:v>45798</x:v>
      </x:c>
      <x:c r="D394" s="5" t="n">
        <x:v>45787</x:v>
      </x:c>
      <x:c r="E394" s="1" t="str">
        <x:v>Editorial</x:v>
      </x:c>
      <x:c r="F394" s="1" t="str">
        <x:v>Workbook</x:v>
      </x:c>
      <x:c r="G394" s="1" t="str">
        <x:v>High</x:v>
      </x:c>
      <x:c r="H394" s="1" t="str">
        <x:v>AI-Assisted</x:v>
      </x:c>
      <x:c r="I394" s="1" t="str">
        <x:v>Few-shot v2</x:v>
      </x:c>
      <x:c r="J394" s="1" t="n">
        <x:v>200</x:v>
      </x:c>
      <x:c r="K394" s="6" t="n">
        <x:v>70</x:v>
      </x:c>
      <x:c r="L394" s="6" t="n">
        <x:v>108.6</x:v>
      </x:c>
      <x:c r="M394" s="6" t="n">
        <x:v>38.6</x:v>
      </x:c>
      <x:c r="N394" s="6" t="n">
        <x:v>59152.47</x:v>
      </x:c>
      <x:c r="O394" s="6" t="n">
        <x:v>91780.16</x:v>
      </x:c>
      <x:c r="P394" s="6" t="n">
        <x:v>32627.69</x:v>
      </x:c>
      <x:c r="Q394" s="1" t="n">
        <x:v>1</x:v>
      </x:c>
      <x:c r="R394" s="1" t="str">
        <x:v>No</x:v>
      </x:c>
      <x:c r="S394" s="7" t="n">
        <x:v>83.2</x:v>
      </x:c>
      <x:c r="T394" s="1" t="str">
        <x:v>Yes</x:v>
      </x:c>
      <x:c r="U394" s="1" t="str">
        <x:v>Completed</x:v>
      </x:c>
    </x:row>
    <x:row r="395">
      <x:c r="A395" s="1" t="str">
        <x:v>PUB-0394</x:v>
      </x:c>
      <x:c r="B395" s="5" t="n">
        <x:v>45981</x:v>
      </x:c>
      <x:c r="C395" s="5" t="n">
        <x:v>45989</x:v>
      </x:c>
      <x:c r="D395" s="5" t="n">
        <x:v>45984</x:v>
      </x:c>
      <x:c r="E395" s="1" t="str">
        <x:v>Digital Learning</x:v>
      </x:c>
      <x:c r="F395" s="1" t="str">
        <x:v>Illustration</x:v>
      </x:c>
      <x:c r="G395" s="1" t="str">
        <x:v>High</x:v>
      </x:c>
      <x:c r="H395" s="1" t="str">
        <x:v>AI-Assisted</x:v>
      </x:c>
      <x:c r="I395" s="1" t="str">
        <x:v>Visual Brief</x:v>
      </x:c>
      <x:c r="J395" s="1" t="n">
        <x:v>49</x:v>
      </x:c>
      <x:c r="K395" s="6" t="n">
        <x:v>20.6</x:v>
      </x:c>
      <x:c r="L395" s="6" t="n">
        <x:v>29.4</x:v>
      </x:c>
      <x:c r="M395" s="6" t="n">
        <x:v>8.8</x:v>
      </x:c>
      <x:c r="N395" s="6" t="n">
        <x:v>22231.06</x:v>
      </x:c>
      <x:c r="O395" s="6" t="n">
        <x:v>31759.06</x:v>
      </x:c>
      <x:c r="P395" s="6" t="n">
        <x:v>9528</x:v>
      </x:c>
      <x:c r="Q395" s="1" t="n">
        <x:v>0</x:v>
      </x:c>
      <x:c r="R395" s="1" t="str">
        <x:v>Yes</x:v>
      </x:c>
      <x:c r="S395" s="7" t="n">
        <x:v>90.8</x:v>
      </x:c>
      <x:c r="T395" s="1" t="str">
        <x:v>Yes</x:v>
      </x:c>
      <x:c r="U395" s="1" t="str">
        <x:v>Completed</x:v>
      </x:c>
    </x:row>
    <x:row r="396">
      <x:c r="A396" s="1" t="str">
        <x:v>PUB-0395</x:v>
      </x:c>
      <x:c r="B396" s="5" t="n">
        <x:v>46058</x:v>
      </x:c>
      <x:c r="C396" s="5" t="n">
        <x:v>46066</x:v>
      </x:c>
      <x:c r="D396" s="5" t="n">
        <x:v>46060</x:v>
      </x:c>
      <x:c r="E396" s="1" t="str">
        <x:v>Design</x:v>
      </x:c>
      <x:c r="F396" s="1" t="str">
        <x:v>Illustration</x:v>
      </x:c>
      <x:c r="G396" s="1" t="str">
        <x:v>Medium</x:v>
      </x:c>
      <x:c r="H396" s="1" t="str">
        <x:v>AI-Assisted</x:v>
      </x:c>
      <x:c r="I396" s="1" t="str">
        <x:v>Editorial QA</x:v>
      </x:c>
      <x:c r="J396" s="1" t="n">
        <x:v>28</x:v>
      </x:c>
      <x:c r="K396" s="6" t="n">
        <x:v>10.2</x:v>
      </x:c>
      <x:c r="L396" s="6" t="n">
        <x:v>14.3</x:v>
      </x:c>
      <x:c r="M396" s="6" t="n">
        <x:v>4.1</x:v>
      </x:c>
      <x:c r="N396" s="6" t="n">
        <x:v>8227.68</x:v>
      </x:c>
      <x:c r="O396" s="6" t="n">
        <x:v>11498.37</x:v>
      </x:c>
      <x:c r="P396" s="6" t="n">
        <x:v>3270.69</x:v>
      </x:c>
      <x:c r="Q396" s="1" t="n">
        <x:v>1</x:v>
      </x:c>
      <x:c r="R396" s="1" t="str">
        <x:v>No</x:v>
      </x:c>
      <x:c r="S396" s="7" t="n">
        <x:v>92.6</x:v>
      </x:c>
      <x:c r="T396" s="1" t="str">
        <x:v>Yes</x:v>
      </x:c>
      <x:c r="U396" s="1" t="str">
        <x:v>Completed</x:v>
      </x:c>
    </x:row>
    <x:row r="397">
      <x:c r="A397" s="1" t="str">
        <x:v>PUB-0396</x:v>
      </x:c>
      <x:c r="B397" s="5" t="n">
        <x:v>46017</x:v>
      </x:c>
      <x:c r="C397" s="5" t="n">
        <x:v>46021</x:v>
      </x:c>
      <x:c r="D397" s="5" t="str"/>
      <x:c r="E397" s="1" t="str">
        <x:v>Editorial</x:v>
      </x:c>
      <x:c r="F397" s="1" t="str">
        <x:v>Workbook</x:v>
      </x:c>
      <x:c r="G397" s="1" t="str">
        <x:v>Low</x:v>
      </x:c>
      <x:c r="H397" s="1" t="str">
        <x:v>AI-Assisted</x:v>
      </x:c>
      <x:c r="I397" s="1" t="str">
        <x:v>Structured v3</x:v>
      </x:c>
      <x:c r="J397" s="1" t="n">
        <x:v>31</x:v>
      </x:c>
      <x:c r="K397" s="6" t="n">
        <x:v>8.7</x:v>
      </x:c>
      <x:c r="L397" s="6" t="n">
        <x:v>12.5</x:v>
      </x:c>
      <x:c r="M397" s="6" t="n">
        <x:v>3.8</x:v>
      </x:c>
      <x:c r="N397" s="6" t="n">
        <x:v>6598.19</x:v>
      </x:c>
      <x:c r="O397" s="6" t="n">
        <x:v>9460.33</x:v>
      </x:c>
      <x:c r="P397" s="6" t="n">
        <x:v>2862.14</x:v>
      </x:c>
      <x:c r="Q397" s="1" t="n">
        <x:v>0</x:v>
      </x:c>
      <x:c r="R397" s="1" t="str"/>
      <x:c r="S397" s="7" t="n">
        <x:v>91.3</x:v>
      </x:c>
      <x:c r="T397" s="1" t="str"/>
      <x:c r="U397" s="1" t="str">
        <x:v>In Progress</x:v>
      </x:c>
    </x:row>
    <x:row r="398">
      <x:c r="A398" s="1" t="str">
        <x:v>PUB-0397</x:v>
      </x:c>
      <x:c r="B398" s="5" t="n">
        <x:v>45746</x:v>
      </x:c>
      <x:c r="C398" s="5" t="n">
        <x:v>45762</x:v>
      </x:c>
      <x:c r="D398" s="5" t="n">
        <x:v>45751</x:v>
      </x:c>
      <x:c r="E398" s="1" t="str">
        <x:v>Digital Learning</x:v>
      </x:c>
      <x:c r="F398" s="1" t="str">
        <x:v>School Textbook</x:v>
      </x:c>
      <x:c r="G398" s="1" t="str">
        <x:v>High</x:v>
      </x:c>
      <x:c r="H398" s="1" t="str">
        <x:v>AI-Assisted</x:v>
      </x:c>
      <x:c r="I398" s="1" t="str">
        <x:v>Visual Brief</x:v>
      </x:c>
      <x:c r="J398" s="1" t="n">
        <x:v>152</x:v>
      </x:c>
      <x:c r="K398" s="6" t="n">
        <x:v>40.7</x:v>
      </x:c>
      <x:c r="L398" s="6" t="n">
        <x:v>80.4</x:v>
      </x:c>
      <x:c r="M398" s="6" t="n">
        <x:v>39.7</x:v>
      </x:c>
      <x:c r="N398" s="6" t="n">
        <x:v>30204.75</x:v>
      </x:c>
      <x:c r="O398" s="6" t="n">
        <x:v>59657.16</x:v>
      </x:c>
      <x:c r="P398" s="6" t="n">
        <x:v>29452.41</x:v>
      </x:c>
      <x:c r="Q398" s="1" t="n">
        <x:v>0</x:v>
      </x:c>
      <x:c r="R398" s="1" t="str">
        <x:v>Yes</x:v>
      </x:c>
      <x:c r="S398" s="7" t="n">
        <x:v>87.8</x:v>
      </x:c>
      <x:c r="T398" s="1" t="str">
        <x:v>Yes</x:v>
      </x:c>
      <x:c r="U398" s="1" t="str">
        <x:v>Completed</x:v>
      </x:c>
    </x:row>
    <x:row r="399">
      <x:c r="A399" s="1" t="str">
        <x:v>PUB-0398</x:v>
      </x:c>
      <x:c r="B399" s="5" t="n">
        <x:v>45989</x:v>
      </x:c>
      <x:c r="C399" s="5" t="n">
        <x:v>45997</x:v>
      </x:c>
      <x:c r="D399" s="5" t="n">
        <x:v>45991</x:v>
      </x:c>
      <x:c r="E399" s="1" t="str">
        <x:v>Editorial</x:v>
      </x:c>
      <x:c r="F399" s="1" t="str">
        <x:v>Illustration</x:v>
      </x:c>
      <x:c r="G399" s="1" t="str">
        <x:v>Medium</x:v>
      </x:c>
      <x:c r="H399" s="1" t="str">
        <x:v>AI-Assisted</x:v>
      </x:c>
      <x:c r="I399" s="1" t="str">
        <x:v>Structured v3</x:v>
      </x:c>
      <x:c r="J399" s="1" t="n">
        <x:v>53</x:v>
      </x:c>
      <x:c r="K399" s="6" t="n">
        <x:v>14</x:v>
      </x:c>
      <x:c r="L399" s="6" t="n">
        <x:v>19.8</x:v>
      </x:c>
      <x:c r="M399" s="6" t="n">
        <x:v>5.8</x:v>
      </x:c>
      <x:c r="N399" s="6" t="n">
        <x:v>10952.65</x:v>
      </x:c>
      <x:c r="O399" s="6" t="n">
        <x:v>15474.76</x:v>
      </x:c>
      <x:c r="P399" s="6" t="n">
        <x:v>4522.11</x:v>
      </x:c>
      <x:c r="Q399" s="1" t="n">
        <x:v>0</x:v>
      </x:c>
      <x:c r="R399" s="1" t="str">
        <x:v>Yes</x:v>
      </x:c>
      <x:c r="S399" s="7" t="n">
        <x:v>87.2</x:v>
      </x:c>
      <x:c r="T399" s="1" t="str">
        <x:v>Yes</x:v>
      </x:c>
      <x:c r="U399" s="1" t="str">
        <x:v>Completed</x:v>
      </x:c>
    </x:row>
    <x:row r="400">
      <x:c r="A400" s="1" t="str">
        <x:v>PUB-0399</x:v>
      </x:c>
      <x:c r="B400" s="5" t="n">
        <x:v>45840</x:v>
      </x:c>
      <x:c r="C400" s="5" t="n">
        <x:v>45857</x:v>
      </x:c>
      <x:c r="D400" s="5" t="n">
        <x:v>45849</x:v>
      </x:c>
      <x:c r="E400" s="1" t="str">
        <x:v>Production</x:v>
      </x:c>
      <x:c r="F400" s="1" t="str">
        <x:v>School Textbook</x:v>
      </x:c>
      <x:c r="G400" s="1" t="str">
        <x:v>Medium</x:v>
      </x:c>
      <x:c r="H400" s="1" t="str">
        <x:v>AI-Assisted</x:v>
      </x:c>
      <x:c r="I400" s="1" t="str">
        <x:v>Few-shot v2</x:v>
      </x:c>
      <x:c r="J400" s="1" t="n">
        <x:v>165</x:v>
      </x:c>
      <x:c r="K400" s="6" t="n">
        <x:v>60.3</x:v>
      </x:c>
      <x:c r="L400" s="6" t="n">
        <x:v>92.5</x:v>
      </x:c>
      <x:c r="M400" s="6" t="n">
        <x:v>32.2</x:v>
      </x:c>
      <x:c r="N400" s="6" t="n">
        <x:v>42309.11</x:v>
      </x:c>
      <x:c r="O400" s="6" t="n">
        <x:v>64921.48</x:v>
      </x:c>
      <x:c r="P400" s="6" t="n">
        <x:v>22612.37</x:v>
      </x:c>
      <x:c r="Q400" s="1" t="n">
        <x:v>1</x:v>
      </x:c>
      <x:c r="R400" s="1" t="str">
        <x:v>No</x:v>
      </x:c>
      <x:c r="S400" s="7" t="n">
        <x:v>87.4</x:v>
      </x:c>
      <x:c r="T400" s="1" t="str">
        <x:v>Yes</x:v>
      </x:c>
      <x:c r="U400" s="1" t="str">
        <x:v>Completed</x:v>
      </x:c>
    </x:row>
    <x:row r="401">
      <x:c r="A401" s="1" t="str">
        <x:v>PUB-0400</x:v>
      </x:c>
      <x:c r="B401" s="5" t="n">
        <x:v>45658</x:v>
      </x:c>
      <x:c r="C401" s="5" t="n">
        <x:v>45669</x:v>
      </x:c>
      <x:c r="D401" s="5" t="n">
        <x:v>45660</x:v>
      </x:c>
      <x:c r="E401" s="1" t="str">
        <x:v>Digital Learning</x:v>
      </x:c>
      <x:c r="F401" s="1" t="str">
        <x:v>Illustration</x:v>
      </x:c>
      <x:c r="G401" s="1" t="str">
        <x:v>Medium</x:v>
      </x:c>
      <x:c r="H401" s="1" t="str">
        <x:v>AI-Assisted</x:v>
      </x:c>
      <x:c r="I401" s="1" t="str">
        <x:v>Editorial QA</x:v>
      </x:c>
      <x:c r="J401" s="1" t="n">
        <x:v>54</x:v>
      </x:c>
      <x:c r="K401" s="6" t="n">
        <x:v>18</x:v>
      </x:c>
      <x:c r="L401" s="6" t="n">
        <x:v>25.6</x:v>
      </x:c>
      <x:c r="M401" s="6" t="n">
        <x:v>7.6</x:v>
      </x:c>
      <x:c r="N401" s="6" t="n">
        <x:v>16116.12</x:v>
      </x:c>
      <x:c r="O401" s="6" t="n">
        <x:v>22887.35</x:v>
      </x:c>
      <x:c r="P401" s="6" t="n">
        <x:v>6771.23</x:v>
      </x:c>
      <x:c r="Q401" s="1" t="n">
        <x:v>0</x:v>
      </x:c>
      <x:c r="R401" s="1" t="str">
        <x:v>Yes</x:v>
      </x:c>
      <x:c r="S401" s="7" t="n">
        <x:v>95</x:v>
      </x:c>
      <x:c r="T401" s="1" t="str">
        <x:v>Yes</x:v>
      </x:c>
      <x:c r="U401" s="1" t="str">
        <x:v>Completed</x:v>
      </x:c>
    </x:row>
    <x:row r="402">
      <x:c r="A402" s="1" t="str">
        <x:v>PUB-0401</x:v>
      </x:c>
      <x:c r="B402" s="5" t="n">
        <x:v>45729</x:v>
      </x:c>
      <x:c r="C402" s="5" t="n">
        <x:v>45751</x:v>
      </x:c>
      <x:c r="D402" s="5" t="n">
        <x:v>45745</x:v>
      </x:c>
      <x:c r="E402" s="1" t="str">
        <x:v>Design</x:v>
      </x:c>
      <x:c r="F402" s="1" t="str">
        <x:v>School Textbook</x:v>
      </x:c>
      <x:c r="G402" s="1" t="str">
        <x:v>High</x:v>
      </x:c>
      <x:c r="H402" s="1" t="str">
        <x:v>Manual</x:v>
      </x:c>
      <x:c r="I402" s="1" t="str">
        <x:v>Manual / NA</x:v>
      </x:c>
      <x:c r="J402" s="1" t="n">
        <x:v>217</x:v>
      </x:c>
      <x:c r="K402" s="6" t="n">
        <x:v>109.3</x:v>
      </x:c>
      <x:c r="L402" s="6" t="n">
        <x:v>110.8</x:v>
      </x:c>
      <x:c r="M402" s="6" t="n">
        <x:v>1.5</x:v>
      </x:c>
      <x:c r="N402" s="6" t="n">
        <x:v>125236.02</x:v>
      </x:c>
      <x:c r="O402" s="6" t="n">
        <x:v>126904.61</x:v>
      </x:c>
      <x:c r="P402" s="6" t="n">
        <x:v>1668.59</x:v>
      </x:c>
      <x:c r="Q402" s="1" t="n">
        <x:v>1</x:v>
      </x:c>
      <x:c r="R402" s="1" t="str">
        <x:v>No</x:v>
      </x:c>
      <x:c r="S402" s="7" t="n">
        <x:v>99</x:v>
      </x:c>
      <x:c r="T402" s="1" t="str">
        <x:v>Yes</x:v>
      </x:c>
      <x:c r="U402" s="1" t="str">
        <x:v>Completed</x:v>
      </x:c>
    </x:row>
    <x:row r="403">
      <x:c r="A403" s="1" t="str">
        <x:v>PUB-0402</x:v>
      </x:c>
      <x:c r="B403" s="5" t="n">
        <x:v>46006</x:v>
      </x:c>
      <x:c r="C403" s="5" t="n">
        <x:v>46020</x:v>
      </x:c>
      <x:c r="D403" s="5" t="n">
        <x:v>46016</x:v>
      </x:c>
      <x:c r="E403" s="1" t="str">
        <x:v>Editorial</x:v>
      </x:c>
      <x:c r="F403" s="1" t="str">
        <x:v>Workbook</x:v>
      </x:c>
      <x:c r="G403" s="1" t="str">
        <x:v>Low</x:v>
      </x:c>
      <x:c r="H403" s="1" t="str">
        <x:v>Manual</x:v>
      </x:c>
      <x:c r="I403" s="1" t="str">
        <x:v>Manual / NA</x:v>
      </x:c>
      <x:c r="J403" s="1" t="n">
        <x:v>173</x:v>
      </x:c>
      <x:c r="K403" s="6" t="n">
        <x:v>73.4</x:v>
      </x:c>
      <x:c r="L403" s="6" t="n">
        <x:v>68.4</x:v>
      </x:c>
      <x:c r="M403" s="6" t="n">
        <x:v>0</x:v>
      </x:c>
      <x:c r="N403" s="6" t="n">
        <x:v>71958.94</x:v>
      </x:c>
      <x:c r="O403" s="6" t="n">
        <x:v>67031.95</x:v>
      </x:c>
      <x:c r="P403" s="6" t="n">
        <x:v>0</x:v>
      </x:c>
      <x:c r="Q403" s="1" t="n">
        <x:v>0</x:v>
      </x:c>
      <x:c r="R403" s="1" t="str">
        <x:v>Yes</x:v>
      </x:c>
      <x:c r="S403" s="7" t="n">
        <x:v>91.4</x:v>
      </x:c>
      <x:c r="T403" s="1" t="str">
        <x:v>Yes</x:v>
      </x:c>
      <x:c r="U403" s="1" t="str">
        <x:v>Completed</x:v>
      </x:c>
    </x:row>
    <x:row r="404">
      <x:c r="A404" s="1" t="str">
        <x:v>PUB-0403</x:v>
      </x:c>
      <x:c r="B404" s="5" t="n">
        <x:v>46025</x:v>
      </x:c>
      <x:c r="C404" s="5" t="n">
        <x:v>46035</x:v>
      </x:c>
      <x:c r="D404" s="5" t="str"/>
      <x:c r="E404" s="1" t="str">
        <x:v>Design</x:v>
      </x:c>
      <x:c r="F404" s="1" t="str">
        <x:v>E-book</x:v>
      </x:c>
      <x:c r="G404" s="1" t="str">
        <x:v>Low</x:v>
      </x:c>
      <x:c r="H404" s="1" t="str">
        <x:v>AI-Assisted</x:v>
      </x:c>
      <x:c r="I404" s="1" t="str">
        <x:v>Structured v3</x:v>
      </x:c>
      <x:c r="J404" s="1" t="n">
        <x:v>17</x:v>
      </x:c>
      <x:c r="K404" s="6" t="n">
        <x:v>4.5</x:v>
      </x:c>
      <x:c r="L404" s="6" t="n">
        <x:v>7.2</x:v>
      </x:c>
      <x:c r="M404" s="6" t="n">
        <x:v>2.7</x:v>
      </x:c>
      <x:c r="N404" s="6" t="n">
        <x:v>4025.77</x:v>
      </x:c>
      <x:c r="O404" s="6" t="n">
        <x:v>6464.22</x:v>
      </x:c>
      <x:c r="P404" s="6" t="n">
        <x:v>2438.45</x:v>
      </x:c>
      <x:c r="Q404" s="1" t="n">
        <x:v>1</x:v>
      </x:c>
      <x:c r="R404" s="1" t="str"/>
      <x:c r="S404" s="7" t="n">
        <x:v>85</x:v>
      </x:c>
      <x:c r="T404" s="1" t="str"/>
      <x:c r="U404" s="1" t="str">
        <x:v>In Progress</x:v>
      </x:c>
    </x:row>
    <x:row r="405">
      <x:c r="A405" s="1" t="str">
        <x:v>PUB-0404</x:v>
      </x:c>
      <x:c r="B405" s="5" t="n">
        <x:v>45674</x:v>
      </x:c>
      <x:c r="C405" s="5" t="n">
        <x:v>45684</x:v>
      </x:c>
      <x:c r="D405" s="5" t="n">
        <x:v>45675</x:v>
      </x:c>
      <x:c r="E405" s="1" t="str">
        <x:v>Editorial</x:v>
      </x:c>
      <x:c r="F405" s="1" t="str">
        <x:v>School Textbook</x:v>
      </x:c>
      <x:c r="G405" s="1" t="str">
        <x:v>Medium</x:v>
      </x:c>
      <x:c r="H405" s="1" t="str">
        <x:v>Manual</x:v>
      </x:c>
      <x:c r="I405" s="1" t="str">
        <x:v>Manual / NA</x:v>
      </x:c>
      <x:c r="J405" s="1" t="n">
        <x:v>18</x:v>
      </x:c>
      <x:c r="K405" s="6" t="n">
        <x:v>7.4</x:v>
      </x:c>
      <x:c r="L405" s="6" t="n">
        <x:v>7.3</x:v>
      </x:c>
      <x:c r="M405" s="6" t="n">
        <x:v>0</x:v>
      </x:c>
      <x:c r="N405" s="6" t="n">
        <x:v>6745.54</x:v>
      </x:c>
      <x:c r="O405" s="6" t="n">
        <x:v>6671.02</x:v>
      </x:c>
      <x:c r="P405" s="6" t="n">
        <x:v>0</x:v>
      </x:c>
      <x:c r="Q405" s="1" t="n">
        <x:v>0</x:v>
      </x:c>
      <x:c r="R405" s="1" t="str">
        <x:v>Yes</x:v>
      </x:c>
      <x:c r="S405" s="7" t="n">
        <x:v>91.4</x:v>
      </x:c>
      <x:c r="T405" s="1" t="str">
        <x:v>Yes</x:v>
      </x:c>
      <x:c r="U405" s="1" t="str">
        <x:v>Completed</x:v>
      </x:c>
    </x:row>
    <x:row r="406">
      <x:c r="A406" s="1" t="str">
        <x:v>PUB-0405</x:v>
      </x:c>
      <x:c r="B406" s="5" t="n">
        <x:v>45896</x:v>
      </x:c>
      <x:c r="C406" s="5" t="n">
        <x:v>45909</x:v>
      </x:c>
      <x:c r="D406" s="5" t="n">
        <x:v>45906</x:v>
      </x:c>
      <x:c r="E406" s="1" t="str">
        <x:v>Digital Learning</x:v>
      </x:c>
      <x:c r="F406" s="1" t="str">
        <x:v>School Textbook</x:v>
      </x:c>
      <x:c r="G406" s="1" t="str">
        <x:v>High</x:v>
      </x:c>
      <x:c r="H406" s="1" t="str">
        <x:v>AI-Assisted</x:v>
      </x:c>
      <x:c r="I406" s="1" t="str">
        <x:v>Editorial QA</x:v>
      </x:c>
      <x:c r="J406" s="1" t="n">
        <x:v>128</x:v>
      </x:c>
      <x:c r="K406" s="6" t="n">
        <x:v>45.1</x:v>
      </x:c>
      <x:c r="L406" s="6" t="n">
        <x:v>83.8</x:v>
      </x:c>
      <x:c r="M406" s="6" t="n">
        <x:v>38.7</x:v>
      </x:c>
      <x:c r="N406" s="6" t="n">
        <x:v>43945.13</x:v>
      </x:c>
      <x:c r="O406" s="6" t="n">
        <x:v>81665.1</x:v>
      </x:c>
      <x:c r="P406" s="6" t="n">
        <x:v>37719.97</x:v>
      </x:c>
      <x:c r="Q406" s="1" t="n">
        <x:v>2</x:v>
      </x:c>
      <x:c r="R406" s="1" t="str">
        <x:v>No</x:v>
      </x:c>
      <x:c r="S406" s="7" t="n">
        <x:v>94.2</x:v>
      </x:c>
      <x:c r="T406" s="1" t="str">
        <x:v>Yes</x:v>
      </x:c>
      <x:c r="U406" s="1" t="str">
        <x:v>Completed</x:v>
      </x:c>
    </x:row>
    <x:row r="407">
      <x:c r="A407" s="1" t="str">
        <x:v>PUB-0406</x:v>
      </x:c>
      <x:c r="B407" s="5" t="n">
        <x:v>45723</x:v>
      </x:c>
      <x:c r="C407" s="5" t="n">
        <x:v>45731</x:v>
      </x:c>
      <x:c r="D407" s="5" t="n">
        <x:v>45725</x:v>
      </x:c>
      <x:c r="E407" s="1" t="str">
        <x:v>Digital Learning</x:v>
      </x:c>
      <x:c r="F407" s="1" t="str">
        <x:v>School Textbook</x:v>
      </x:c>
      <x:c r="G407" s="1" t="str">
        <x:v>Low</x:v>
      </x:c>
      <x:c r="H407" s="1" t="str">
        <x:v>AI-Assisted</x:v>
      </x:c>
      <x:c r="I407" s="1" t="str">
        <x:v>Editorial QA</x:v>
      </x:c>
      <x:c r="J407" s="1" t="n">
        <x:v>64</x:v>
      </x:c>
      <x:c r="K407" s="6" t="n">
        <x:v>11.9</x:v>
      </x:c>
      <x:c r="L407" s="6" t="n">
        <x:v>21.2</x:v>
      </x:c>
      <x:c r="M407" s="6" t="n">
        <x:v>9.3</x:v>
      </x:c>
      <x:c r="N407" s="6" t="n">
        <x:v>12708.58</x:v>
      </x:c>
      <x:c r="O407" s="6" t="n">
        <x:v>22675.11</x:v>
      </x:c>
      <x:c r="P407" s="6" t="n">
        <x:v>9966.53</x:v>
      </x:c>
      <x:c r="Q407" s="1" t="n">
        <x:v>0</x:v>
      </x:c>
      <x:c r="R407" s="1" t="str">
        <x:v>Yes</x:v>
      </x:c>
      <x:c r="S407" s="7" t="n">
        <x:v>83.3</x:v>
      </x:c>
      <x:c r="T407" s="1" t="str">
        <x:v>Yes</x:v>
      </x:c>
      <x:c r="U407" s="1" t="str">
        <x:v>Completed</x:v>
      </x:c>
    </x:row>
    <x:row r="408">
      <x:c r="A408" s="1" t="str">
        <x:v>PUB-0407</x:v>
      </x:c>
      <x:c r="B408" s="5" t="n">
        <x:v>45798</x:v>
      </x:c>
      <x:c r="C408" s="5" t="n">
        <x:v>45807</x:v>
      </x:c>
      <x:c r="D408" s="5" t="n">
        <x:v>45799</x:v>
      </x:c>
      <x:c r="E408" s="1" t="str">
        <x:v>Editorial</x:v>
      </x:c>
      <x:c r="F408" s="1" t="str">
        <x:v>E-book</x:v>
      </x:c>
      <x:c r="G408" s="1" t="str">
        <x:v>Medium</x:v>
      </x:c>
      <x:c r="H408" s="1" t="str">
        <x:v>AI-Assisted</x:v>
      </x:c>
      <x:c r="I408" s="1" t="str">
        <x:v>Structured v3</x:v>
      </x:c>
      <x:c r="J408" s="1" t="n">
        <x:v>52</x:v>
      </x:c>
      <x:c r="K408" s="6" t="n">
        <x:v>10.3</x:v>
      </x:c>
      <x:c r="L408" s="6" t="n">
        <x:v>20.1</x:v>
      </x:c>
      <x:c r="M408" s="6" t="n">
        <x:v>9.8</x:v>
      </x:c>
      <x:c r="N408" s="6" t="n">
        <x:v>8833.04</x:v>
      </x:c>
      <x:c r="O408" s="6" t="n">
        <x:v>17238.44</x:v>
      </x:c>
      <x:c r="P408" s="6" t="n">
        <x:v>8405.4</x:v>
      </x:c>
      <x:c r="Q408" s="1" t="n">
        <x:v>0</x:v>
      </x:c>
      <x:c r="R408" s="1" t="str">
        <x:v>Yes</x:v>
      </x:c>
      <x:c r="S408" s="7" t="n">
        <x:v>83.4</x:v>
      </x:c>
      <x:c r="T408" s="1" t="str">
        <x:v>Yes</x:v>
      </x:c>
      <x:c r="U408" s="1" t="str">
        <x:v>Completed</x:v>
      </x:c>
    </x:row>
    <x:row r="409">
      <x:c r="A409" s="1" t="str">
        <x:v>PUB-0408</x:v>
      </x:c>
      <x:c r="B409" s="5" t="n">
        <x:v>46043</x:v>
      </x:c>
      <x:c r="C409" s="5" t="n">
        <x:v>46056</x:v>
      </x:c>
      <x:c r="D409" s="5" t="n">
        <x:v>46046</x:v>
      </x:c>
      <x:c r="E409" s="1" t="str">
        <x:v>Production</x:v>
      </x:c>
      <x:c r="F409" s="1" t="str">
        <x:v>School Textbook</x:v>
      </x:c>
      <x:c r="G409" s="1" t="str">
        <x:v>High</x:v>
      </x:c>
      <x:c r="H409" s="1" t="str">
        <x:v>AI-Assisted</x:v>
      </x:c>
      <x:c r="I409" s="1" t="str">
        <x:v>Structured v3</x:v>
      </x:c>
      <x:c r="J409" s="1" t="n">
        <x:v>53</x:v>
      </x:c>
      <x:c r="K409" s="6" t="n">
        <x:v>22.4</x:v>
      </x:c>
      <x:c r="L409" s="6" t="n">
        <x:v>36.1</x:v>
      </x:c>
      <x:c r="M409" s="6" t="n">
        <x:v>13.7</x:v>
      </x:c>
      <x:c r="N409" s="6" t="n">
        <x:v>17737.79</x:v>
      </x:c>
      <x:c r="O409" s="6" t="n">
        <x:v>28557.21</x:v>
      </x:c>
      <x:c r="P409" s="6" t="n">
        <x:v>10819.42</x:v>
      </x:c>
      <x:c r="Q409" s="1" t="n">
        <x:v>0</x:v>
      </x:c>
      <x:c r="R409" s="1" t="str">
        <x:v>Yes</x:v>
      </x:c>
      <x:c r="S409" s="7" t="n">
        <x:v>87.1</x:v>
      </x:c>
      <x:c r="T409" s="1" t="str">
        <x:v>Yes</x:v>
      </x:c>
      <x:c r="U409" s="1" t="str">
        <x:v>Completed</x:v>
      </x:c>
    </x:row>
    <x:row r="410">
      <x:c r="A410" s="1" t="str">
        <x:v>PUB-0409</x:v>
      </x:c>
      <x:c r="B410" s="5" t="n">
        <x:v>45869</x:v>
      </x:c>
      <x:c r="C410" s="5" t="n">
        <x:v>45876</x:v>
      </x:c>
      <x:c r="D410" s="5" t="n">
        <x:v>45870</x:v>
      </x:c>
      <x:c r="E410" s="1" t="str">
        <x:v>Editorial</x:v>
      </x:c>
      <x:c r="F410" s="1" t="str">
        <x:v>Workbook</x:v>
      </x:c>
      <x:c r="G410" s="1" t="str">
        <x:v>Medium</x:v>
      </x:c>
      <x:c r="H410" s="1" t="str">
        <x:v>AI-Assisted</x:v>
      </x:c>
      <x:c r="I410" s="1" t="str">
        <x:v>Structured v3</x:v>
      </x:c>
      <x:c r="J410" s="1" t="n">
        <x:v>52</x:v>
      </x:c>
      <x:c r="K410" s="6" t="n">
        <x:v>10</x:v>
      </x:c>
      <x:c r="L410" s="6" t="n">
        <x:v>19.2</x:v>
      </x:c>
      <x:c r="M410" s="6" t="n">
        <x:v>9.2</x:v>
      </x:c>
      <x:c r="N410" s="6" t="n">
        <x:v>8999.44</x:v>
      </x:c>
      <x:c r="O410" s="6" t="n">
        <x:v>17234.27</x:v>
      </x:c>
      <x:c r="P410" s="6" t="n">
        <x:v>8234.83</x:v>
      </x:c>
      <x:c r="Q410" s="1" t="n">
        <x:v>0</x:v>
      </x:c>
      <x:c r="R410" s="1" t="str">
        <x:v>Yes</x:v>
      </x:c>
      <x:c r="S410" s="7" t="n">
        <x:v>82.3</x:v>
      </x:c>
      <x:c r="T410" s="1" t="str">
        <x:v>Yes</x:v>
      </x:c>
      <x:c r="U410" s="1" t="str">
        <x:v>Completed</x:v>
      </x:c>
    </x:row>
    <x:row r="411">
      <x:c r="A411" s="1" t="str">
        <x:v>PUB-0410</x:v>
      </x:c>
      <x:c r="B411" s="5" t="n">
        <x:v>45899</x:v>
      </x:c>
      <x:c r="C411" s="5" t="n">
        <x:v>45918</x:v>
      </x:c>
      <x:c r="D411" s="5" t="n">
        <x:v>45911</x:v>
      </x:c>
      <x:c r="E411" s="1" t="str">
        <x:v>Editorial</x:v>
      </x:c>
      <x:c r="F411" s="1" t="str">
        <x:v>E-book</x:v>
      </x:c>
      <x:c r="G411" s="1" t="str">
        <x:v>Medium</x:v>
      </x:c>
      <x:c r="H411" s="1" t="str">
        <x:v>Manual</x:v>
      </x:c>
      <x:c r="I411" s="1" t="str">
        <x:v>Manual / NA</x:v>
      </x:c>
      <x:c r="J411" s="1" t="n">
        <x:v>166</x:v>
      </x:c>
      <x:c r="K411" s="6" t="n">
        <x:v>86.5</x:v>
      </x:c>
      <x:c r="L411" s="6" t="n">
        <x:v>87.6</x:v>
      </x:c>
      <x:c r="M411" s="6" t="n">
        <x:v>1.1</x:v>
      </x:c>
      <x:c r="N411" s="6" t="n">
        <x:v>65708.69</x:v>
      </x:c>
      <x:c r="O411" s="6" t="n">
        <x:v>66511.18</x:v>
      </x:c>
      <x:c r="P411" s="6" t="n">
        <x:v>802.49</x:v>
      </x:c>
      <x:c r="Q411" s="1" t="n">
        <x:v>0</x:v>
      </x:c>
      <x:c r="R411" s="1" t="str">
        <x:v>Yes</x:v>
      </x:c>
      <x:c r="S411" s="7" t="n">
        <x:v>78.1</x:v>
      </x:c>
      <x:c r="T411" s="1" t="str">
        <x:v>Yes</x:v>
      </x:c>
      <x:c r="U411" s="1" t="str">
        <x:v>Completed</x:v>
      </x:c>
    </x:row>
    <x:row r="412">
      <x:c r="A412" s="1" t="str">
        <x:v>PUB-0411</x:v>
      </x:c>
      <x:c r="B412" s="5" t="n">
        <x:v>45856</x:v>
      </x:c>
      <x:c r="C412" s="5" t="n">
        <x:v>45869</x:v>
      </x:c>
      <x:c r="D412" s="5" t="n">
        <x:v>45863</x:v>
      </x:c>
      <x:c r="E412" s="1" t="str">
        <x:v>Editorial</x:v>
      </x:c>
      <x:c r="F412" s="1" t="str">
        <x:v>School Textbook</x:v>
      </x:c>
      <x:c r="G412" s="1" t="str">
        <x:v>Medium</x:v>
      </x:c>
      <x:c r="H412" s="1" t="str">
        <x:v>Manual</x:v>
      </x:c>
      <x:c r="I412" s="1" t="str">
        <x:v>Manual / NA</x:v>
      </x:c>
      <x:c r="J412" s="1" t="n">
        <x:v>129</x:v>
      </x:c>
      <x:c r="K412" s="6" t="n">
        <x:v>54.3</x:v>
      </x:c>
      <x:c r="L412" s="6" t="n">
        <x:v>51</x:v>
      </x:c>
      <x:c r="M412" s="6" t="n">
        <x:v>0</x:v>
      </x:c>
      <x:c r="N412" s="6" t="n">
        <x:v>36761.85</x:v>
      </x:c>
      <x:c r="O412" s="6" t="n">
        <x:v>34510.09</x:v>
      </x:c>
      <x:c r="P412" s="6" t="n">
        <x:v>0</x:v>
      </x:c>
      <x:c r="Q412" s="1" t="n">
        <x:v>0</x:v>
      </x:c>
      <x:c r="R412" s="1" t="str">
        <x:v>Yes</x:v>
      </x:c>
      <x:c r="S412" s="7" t="n">
        <x:v>86.1</x:v>
      </x:c>
      <x:c r="T412" s="1" t="str">
        <x:v>Yes</x:v>
      </x:c>
      <x:c r="U412" s="1" t="str">
        <x:v>Completed</x:v>
      </x:c>
    </x:row>
    <x:row r="413">
      <x:c r="A413" s="1" t="str">
        <x:v>PUB-0412</x:v>
      </x:c>
      <x:c r="B413" s="5" t="n">
        <x:v>45711</x:v>
      </x:c>
      <x:c r="C413" s="5" t="n">
        <x:v>45723</x:v>
      </x:c>
      <x:c r="D413" s="5" t="n">
        <x:v>45717</x:v>
      </x:c>
      <x:c r="E413" s="1" t="str">
        <x:v>Digital Learning</x:v>
      </x:c>
      <x:c r="F413" s="1" t="str">
        <x:v>School Textbook</x:v>
      </x:c>
      <x:c r="G413" s="1" t="str">
        <x:v>Medium</x:v>
      </x:c>
      <x:c r="H413" s="1" t="str">
        <x:v>Manual</x:v>
      </x:c>
      <x:c r="I413" s="1" t="str">
        <x:v>Manual / NA</x:v>
      </x:c>
      <x:c r="J413" s="1" t="n">
        <x:v>132</x:v>
      </x:c>
      <x:c r="K413" s="6" t="n">
        <x:v>46</x:v>
      </x:c>
      <x:c r="L413" s="6" t="n">
        <x:v>49.6</x:v>
      </x:c>
      <x:c r="M413" s="6" t="n">
        <x:v>3.6</x:v>
      </x:c>
      <x:c r="N413" s="6" t="n">
        <x:v>40130.88</x:v>
      </x:c>
      <x:c r="O413" s="6" t="n">
        <x:v>43252.16</x:v>
      </x:c>
      <x:c r="P413" s="6" t="n">
        <x:v>3121.28</x:v>
      </x:c>
      <x:c r="Q413" s="1" t="n">
        <x:v>0</x:v>
      </x:c>
      <x:c r="R413" s="1" t="str">
        <x:v>Yes</x:v>
      </x:c>
      <x:c r="S413" s="7" t="n">
        <x:v>89.1</x:v>
      </x:c>
      <x:c r="T413" s="1" t="str">
        <x:v>Yes</x:v>
      </x:c>
      <x:c r="U413" s="1" t="str">
        <x:v>Completed</x:v>
      </x:c>
    </x:row>
    <x:row r="414">
      <x:c r="A414" s="1" t="str">
        <x:v>PUB-0413</x:v>
      </x:c>
      <x:c r="B414" s="5" t="n">
        <x:v>45991</x:v>
      </x:c>
      <x:c r="C414" s="5" t="n">
        <x:v>46006</x:v>
      </x:c>
      <x:c r="D414" s="5" t="n">
        <x:v>45996</x:v>
      </x:c>
      <x:c r="E414" s="1" t="str">
        <x:v>Editorial</x:v>
      </x:c>
      <x:c r="F414" s="1" t="str">
        <x:v>School Textbook</x:v>
      </x:c>
      <x:c r="G414" s="1" t="str">
        <x:v>High</x:v>
      </x:c>
      <x:c r="H414" s="1" t="str">
        <x:v>AI-Assisted</x:v>
      </x:c>
      <x:c r="I414" s="1" t="str">
        <x:v>Structured v3</x:v>
      </x:c>
      <x:c r="J414" s="1" t="n">
        <x:v>113</x:v>
      </x:c>
      <x:c r="K414" s="6" t="n">
        <x:v>35.2</x:v>
      </x:c>
      <x:c r="L414" s="6" t="n">
        <x:v>66</x:v>
      </x:c>
      <x:c r="M414" s="6" t="n">
        <x:v>30.8</x:v>
      </x:c>
      <x:c r="N414" s="6" t="n">
        <x:v>31169.43</x:v>
      </x:c>
      <x:c r="O414" s="6" t="n">
        <x:v>58461.07</x:v>
      </x:c>
      <x:c r="P414" s="6" t="n">
        <x:v>27291.64</x:v>
      </x:c>
      <x:c r="Q414" s="1" t="n">
        <x:v>0</x:v>
      </x:c>
      <x:c r="R414" s="1" t="str">
        <x:v>Yes</x:v>
      </x:c>
      <x:c r="S414" s="7" t="n">
        <x:v>91.4</x:v>
      </x:c>
      <x:c r="T414" s="1" t="str">
        <x:v>Yes</x:v>
      </x:c>
      <x:c r="U414" s="1" t="str">
        <x:v>Completed</x:v>
      </x:c>
    </x:row>
    <x:row r="415">
      <x:c r="A415" s="1" t="str">
        <x:v>PUB-0414</x:v>
      </x:c>
      <x:c r="B415" s="5" t="n">
        <x:v>46040</x:v>
      </x:c>
      <x:c r="C415" s="5" t="n">
        <x:v>46047</x:v>
      </x:c>
      <x:c r="D415" s="5" t="n">
        <x:v>46042</x:v>
      </x:c>
      <x:c r="E415" s="1" t="str">
        <x:v>Editorial</x:v>
      </x:c>
      <x:c r="F415" s="1" t="str">
        <x:v>Illustration</x:v>
      </x:c>
      <x:c r="G415" s="1" t="str">
        <x:v>Medium</x:v>
      </x:c>
      <x:c r="H415" s="1" t="str">
        <x:v>AI-Assisted</x:v>
      </x:c>
      <x:c r="I415" s="1" t="str">
        <x:v>Visual Brief</x:v>
      </x:c>
      <x:c r="J415" s="1" t="n">
        <x:v>29</x:v>
      </x:c>
      <x:c r="K415" s="6" t="n">
        <x:v>6.6</x:v>
      </x:c>
      <x:c r="L415" s="6" t="n">
        <x:v>10.6</x:v>
      </x:c>
      <x:c r="M415" s="6" t="n">
        <x:v>4</x:v>
      </x:c>
      <x:c r="N415" s="6" t="n">
        <x:v>5215.99</x:v>
      </x:c>
      <x:c r="O415" s="6" t="n">
        <x:v>8412.58</x:v>
      </x:c>
      <x:c r="P415" s="6" t="n">
        <x:v>3196.59</x:v>
      </x:c>
      <x:c r="Q415" s="1" t="n">
        <x:v>1</x:v>
      </x:c>
      <x:c r="R415" s="1" t="str">
        <x:v>No</x:v>
      </x:c>
      <x:c r="S415" s="7" t="n">
        <x:v>85.4</x:v>
      </x:c>
      <x:c r="T415" s="1" t="str">
        <x:v>Yes</x:v>
      </x:c>
      <x:c r="U415" s="1" t="str">
        <x:v>Completed</x:v>
      </x:c>
    </x:row>
    <x:row r="416">
      <x:c r="A416" s="1" t="str">
        <x:v>PUB-0415</x:v>
      </x:c>
      <x:c r="B416" s="5" t="n">
        <x:v>45883</x:v>
      </x:c>
      <x:c r="C416" s="5" t="n">
        <x:v>45890</x:v>
      </x:c>
      <x:c r="D416" s="5" t="n">
        <x:v>45884</x:v>
      </x:c>
      <x:c r="E416" s="1" t="str">
        <x:v>Digital Learning</x:v>
      </x:c>
      <x:c r="F416" s="1" t="str">
        <x:v>Assessment</x:v>
      </x:c>
      <x:c r="G416" s="1" t="str">
        <x:v>Medium</x:v>
      </x:c>
      <x:c r="H416" s="1" t="str">
        <x:v>Manual</x:v>
      </x:c>
      <x:c r="I416" s="1" t="str">
        <x:v>Manual / NA</x:v>
      </x:c>
      <x:c r="J416" s="1" t="n">
        <x:v>25</x:v>
      </x:c>
      <x:c r="K416" s="6" t="n">
        <x:v>11.1</x:v>
      </x:c>
      <x:c r="L416" s="6" t="n">
        <x:v>12</x:v>
      </x:c>
      <x:c r="M416" s="6" t="n">
        <x:v>0.9</x:v>
      </x:c>
      <x:c r="N416" s="6" t="n">
        <x:v>9499.91</x:v>
      </x:c>
      <x:c r="O416" s="6" t="n">
        <x:v>10304.54</x:v>
      </x:c>
      <x:c r="P416" s="6" t="n">
        <x:v>804.63</x:v>
      </x:c>
      <x:c r="Q416" s="1" t="n">
        <x:v>0</x:v>
      </x:c>
      <x:c r="R416" s="1" t="str">
        <x:v>Yes</x:v>
      </x:c>
      <x:c r="S416" s="7" t="n">
        <x:v>87.5</x:v>
      </x:c>
      <x:c r="T416" s="1" t="str">
        <x:v>Yes</x:v>
      </x:c>
      <x:c r="U416" s="1" t="str">
        <x:v>Completed</x:v>
      </x:c>
    </x:row>
    <x:row r="417">
      <x:c r="A417" s="1" t="str">
        <x:v>PUB-0416</x:v>
      </x:c>
      <x:c r="B417" s="5" t="n">
        <x:v>46096</x:v>
      </x:c>
      <x:c r="C417" s="5" t="n">
        <x:v>46119</x:v>
      </x:c>
      <x:c r="D417" s="5" t="n">
        <x:v>46116</x:v>
      </x:c>
      <x:c r="E417" s="1" t="str">
        <x:v>Production</x:v>
      </x:c>
      <x:c r="F417" s="1" t="str">
        <x:v>Workbook</x:v>
      </x:c>
      <x:c r="G417" s="1" t="str">
        <x:v>High</x:v>
      </x:c>
      <x:c r="H417" s="1" t="str">
        <x:v>AI-Assisted</x:v>
      </x:c>
      <x:c r="I417" s="1" t="str">
        <x:v>Editorial QA</x:v>
      </x:c>
      <x:c r="J417" s="1" t="n">
        <x:v>159</x:v>
      </x:c>
      <x:c r="K417" s="6" t="n">
        <x:v>81.9</x:v>
      </x:c>
      <x:c r="L417" s="6" t="n">
        <x:v>117.7</x:v>
      </x:c>
      <x:c r="M417" s="6" t="n">
        <x:v>35.8</x:v>
      </x:c>
      <x:c r="N417" s="6" t="n">
        <x:v>70342.76</x:v>
      </x:c>
      <x:c r="O417" s="6" t="n">
        <x:v>101132.22</x:v>
      </x:c>
      <x:c r="P417" s="6" t="n">
        <x:v>30789.46</x:v>
      </x:c>
      <x:c r="Q417" s="1" t="n">
        <x:v>3</x:v>
      </x:c>
      <x:c r="R417" s="1" t="str">
        <x:v>No</x:v>
      </x:c>
      <x:c r="S417" s="7" t="n">
        <x:v>81.3</x:v>
      </x:c>
      <x:c r="T417" s="1" t="str">
        <x:v>Yes</x:v>
      </x:c>
      <x:c r="U417" s="1" t="str">
        <x:v>Completed</x:v>
      </x:c>
    </x:row>
    <x:row r="418">
      <x:c r="A418" s="1" t="str">
        <x:v>PUB-0417</x:v>
      </x:c>
      <x:c r="B418" s="5" t="n">
        <x:v>46201</x:v>
      </x:c>
      <x:c r="C418" s="5" t="n">
        <x:v>46212</x:v>
      </x:c>
      <x:c r="D418" s="5" t="n">
        <x:v>46203</x:v>
      </x:c>
      <x:c r="E418" s="1" t="str">
        <x:v>Design</x:v>
      </x:c>
      <x:c r="F418" s="1" t="str">
        <x:v>Illustration</x:v>
      </x:c>
      <x:c r="G418" s="1" t="str">
        <x:v>Low</x:v>
      </x:c>
      <x:c r="H418" s="1" t="str">
        <x:v>AI-Assisted</x:v>
      </x:c>
      <x:c r="I418" s="1" t="str">
        <x:v>Structured v3</x:v>
      </x:c>
      <x:c r="J418" s="1" t="n">
        <x:v>67</x:v>
      </x:c>
      <x:c r="K418" s="6" t="n">
        <x:v>12.8</x:v>
      </x:c>
      <x:c r="L418" s="6" t="n">
        <x:v>26.5</x:v>
      </x:c>
      <x:c r="M418" s="6" t="n">
        <x:v>13.7</x:v>
      </x:c>
      <x:c r="N418" s="6" t="n">
        <x:v>13003.43</x:v>
      </x:c>
      <x:c r="O418" s="6" t="n">
        <x:v>26950.34</x:v>
      </x:c>
      <x:c r="P418" s="6" t="n">
        <x:v>13946.91</x:v>
      </x:c>
      <x:c r="Q418" s="1" t="n">
        <x:v>0</x:v>
      </x:c>
      <x:c r="R418" s="1" t="str">
        <x:v>Yes</x:v>
      </x:c>
      <x:c r="S418" s="7" t="n">
        <x:v>92.1</x:v>
      </x:c>
      <x:c r="T418" s="1" t="str">
        <x:v>Yes</x:v>
      </x:c>
      <x:c r="U418" s="1" t="str">
        <x:v>Completed</x:v>
      </x:c>
    </x:row>
    <x:row r="419">
      <x:c r="A419" s="1" t="str">
        <x:v>PUB-0418</x:v>
      </x:c>
      <x:c r="B419" s="5" t="n">
        <x:v>45970</x:v>
      </x:c>
      <x:c r="C419" s="5" t="n">
        <x:v>45983</x:v>
      </x:c>
      <x:c r="D419" s="5" t="n">
        <x:v>45974</x:v>
      </x:c>
      <x:c r="E419" s="1" t="str">
        <x:v>Editorial</x:v>
      </x:c>
      <x:c r="F419" s="1" t="str">
        <x:v>Workbook</x:v>
      </x:c>
      <x:c r="G419" s="1" t="str">
        <x:v>Medium</x:v>
      </x:c>
      <x:c r="H419" s="1" t="str">
        <x:v>AI-Assisted</x:v>
      </x:c>
      <x:c r="I419" s="1" t="str">
        <x:v>Editorial QA</x:v>
      </x:c>
      <x:c r="J419" s="1" t="n">
        <x:v>124</x:v>
      </x:c>
      <x:c r="K419" s="6" t="n">
        <x:v>31.4</x:v>
      </x:c>
      <x:c r="L419" s="6" t="n">
        <x:v>48.4</x:v>
      </x:c>
      <x:c r="M419" s="6" t="n">
        <x:v>17</x:v>
      </x:c>
      <x:c r="N419" s="6" t="n">
        <x:v>23313.65</x:v>
      </x:c>
      <x:c r="O419" s="6" t="n">
        <x:v>35951.77</x:v>
      </x:c>
      <x:c r="P419" s="6" t="n">
        <x:v>12638.12</x:v>
      </x:c>
      <x:c r="Q419" s="1" t="n">
        <x:v>0</x:v>
      </x:c>
      <x:c r="R419" s="1" t="str">
        <x:v>Yes</x:v>
      </x:c>
      <x:c r="S419" s="7" t="n">
        <x:v>92.4</x:v>
      </x:c>
      <x:c r="T419" s="1" t="str">
        <x:v>Yes</x:v>
      </x:c>
      <x:c r="U419" s="1" t="str">
        <x:v>Completed</x:v>
      </x:c>
    </x:row>
    <x:row r="420">
      <x:c r="A420" s="1" t="str">
        <x:v>PUB-0419</x:v>
      </x:c>
      <x:c r="B420" s="5" t="n">
        <x:v>45659</x:v>
      </x:c>
      <x:c r="C420" s="5" t="n">
        <x:v>45671</x:v>
      </x:c>
      <x:c r="D420" s="5" t="n">
        <x:v>45664</x:v>
      </x:c>
      <x:c r="E420" s="1" t="str">
        <x:v>Digital Learning</x:v>
      </x:c>
      <x:c r="F420" s="1" t="str">
        <x:v>School Textbook</x:v>
      </x:c>
      <x:c r="G420" s="1" t="str">
        <x:v>Medium</x:v>
      </x:c>
      <x:c r="H420" s="1" t="str">
        <x:v>Manual</x:v>
      </x:c>
      <x:c r="I420" s="1" t="str">
        <x:v>Manual / NA</x:v>
      </x:c>
      <x:c r="J420" s="1" t="n">
        <x:v>93</x:v>
      </x:c>
      <x:c r="K420" s="6" t="n">
        <x:v>40.8</x:v>
      </x:c>
      <x:c r="L420" s="6" t="n">
        <x:v>39.5</x:v>
      </x:c>
      <x:c r="M420" s="6" t="n">
        <x:v>0</x:v>
      </x:c>
      <x:c r="N420" s="6" t="n">
        <x:v>40760.32</x:v>
      </x:c>
      <x:c r="O420" s="6" t="n">
        <x:v>39509.77</x:v>
      </x:c>
      <x:c r="P420" s="6" t="n">
        <x:v>0</x:v>
      </x:c>
      <x:c r="Q420" s="1" t="n">
        <x:v>0</x:v>
      </x:c>
      <x:c r="R420" s="1" t="str">
        <x:v>Yes</x:v>
      </x:c>
      <x:c r="S420" s="7" t="n">
        <x:v>81.7</x:v>
      </x:c>
      <x:c r="T420" s="1" t="str">
        <x:v>Yes</x:v>
      </x:c>
      <x:c r="U420" s="1" t="str">
        <x:v>Completed</x:v>
      </x:c>
    </x:row>
    <x:row r="421">
      <x:c r="A421" s="1" t="str">
        <x:v>PUB-0420</x:v>
      </x:c>
      <x:c r="B421" s="5" t="n">
        <x:v>46001</x:v>
      </x:c>
      <x:c r="C421" s="5" t="n">
        <x:v>46017</x:v>
      </x:c>
      <x:c r="D421" s="5" t="n">
        <x:v>46013</x:v>
      </x:c>
      <x:c r="E421" s="1" t="str">
        <x:v>Production</x:v>
      </x:c>
      <x:c r="F421" s="1" t="str">
        <x:v>School Textbook</x:v>
      </x:c>
      <x:c r="G421" s="1" t="str">
        <x:v>Medium</x:v>
      </x:c>
      <x:c r="H421" s="1" t="str">
        <x:v>Manual</x:v>
      </x:c>
      <x:c r="I421" s="1" t="str">
        <x:v>Manual / NA</x:v>
      </x:c>
      <x:c r="J421" s="1" t="n">
        <x:v>180</x:v>
      </x:c>
      <x:c r="K421" s="6" t="n">
        <x:v>63.9</x:v>
      </x:c>
      <x:c r="L421" s="6" t="n">
        <x:v>66.8</x:v>
      </x:c>
      <x:c r="M421" s="6" t="n">
        <x:v>2.9</x:v>
      </x:c>
      <x:c r="N421" s="6" t="n">
        <x:v>56403.02</x:v>
      </x:c>
      <x:c r="O421" s="6" t="n">
        <x:v>58999.75</x:v>
      </x:c>
      <x:c r="P421" s="6" t="n">
        <x:v>2596.73</x:v>
      </x:c>
      <x:c r="Q421" s="1" t="n">
        <x:v>1</x:v>
      </x:c>
      <x:c r="R421" s="1" t="str">
        <x:v>No</x:v>
      </x:c>
      <x:c r="S421" s="7" t="n">
        <x:v>81.7</x:v>
      </x:c>
      <x:c r="T421" s="1" t="str">
        <x:v>Yes</x:v>
      </x:c>
      <x:c r="U421" s="1" t="str">
        <x:v>Completed</x:v>
      </x:c>
    </x:row>
    <x:row r="422">
      <x:c r="A422" s="1" t="str">
        <x:v>PUB-0421</x:v>
      </x:c>
      <x:c r="B422" s="5" t="n">
        <x:v>45867</x:v>
      </x:c>
      <x:c r="C422" s="5" t="n">
        <x:v>45888</x:v>
      </x:c>
      <x:c r="D422" s="5" t="n">
        <x:v>45879</x:v>
      </x:c>
      <x:c r="E422" s="1" t="str">
        <x:v>Editorial</x:v>
      </x:c>
      <x:c r="F422" s="1" t="str">
        <x:v>Workbook</x:v>
      </x:c>
      <x:c r="G422" s="1" t="str">
        <x:v>High</x:v>
      </x:c>
      <x:c r="H422" s="1" t="str">
        <x:v>AI-Assisted</x:v>
      </x:c>
      <x:c r="I422" s="1" t="str">
        <x:v>Editorial QA</x:v>
      </x:c>
      <x:c r="J422" s="1" t="n">
        <x:v>196</x:v>
      </x:c>
      <x:c r="K422" s="6" t="n">
        <x:v>89.6</x:v>
      </x:c>
      <x:c r="L422" s="6" t="n">
        <x:v>126.2</x:v>
      </x:c>
      <x:c r="M422" s="6" t="n">
        <x:v>36.6</x:v>
      </x:c>
      <x:c r="N422" s="6" t="n">
        <x:v>67638.77</x:v>
      </x:c>
      <x:c r="O422" s="6" t="n">
        <x:v>95236.8</x:v>
      </x:c>
      <x:c r="P422" s="6" t="n">
        <x:v>27598.03</x:v>
      </x:c>
      <x:c r="Q422" s="1" t="n">
        <x:v>0</x:v>
      </x:c>
      <x:c r="R422" s="1" t="str">
        <x:v>Yes</x:v>
      </x:c>
      <x:c r="S422" s="7" t="n">
        <x:v>89.8</x:v>
      </x:c>
      <x:c r="T422" s="1" t="str">
        <x:v>Yes</x:v>
      </x:c>
      <x:c r="U422" s="1" t="str">
        <x:v>Completed</x:v>
      </x:c>
    </x:row>
    <x:row r="423">
      <x:c r="A423" s="1" t="str">
        <x:v>PUB-0422</x:v>
      </x:c>
      <x:c r="B423" s="5" t="n">
        <x:v>45941</x:v>
      </x:c>
      <x:c r="C423" s="5" t="n">
        <x:v>45959</x:v>
      </x:c>
      <x:c r="D423" s="5" t="n">
        <x:v>45949</x:v>
      </x:c>
      <x:c r="E423" s="1" t="str">
        <x:v>Editorial</x:v>
      </x:c>
      <x:c r="F423" s="1" t="str">
        <x:v>Workbook</x:v>
      </x:c>
      <x:c r="G423" s="1" t="str">
        <x:v>Low</x:v>
      </x:c>
      <x:c r="H423" s="1" t="str">
        <x:v>AI-Assisted</x:v>
      </x:c>
      <x:c r="I423" s="1" t="str">
        <x:v>Few-shot v2</x:v>
      </x:c>
      <x:c r="J423" s="1" t="n">
        <x:v>220</x:v>
      </x:c>
      <x:c r="K423" s="6" t="n">
        <x:v>59.9</x:v>
      </x:c>
      <x:c r="L423" s="6" t="n">
        <x:v>93.1</x:v>
      </x:c>
      <x:c r="M423" s="6" t="n">
        <x:v>33.2</x:v>
      </x:c>
      <x:c r="N423" s="6" t="n">
        <x:v>54894.02</x:v>
      </x:c>
      <x:c r="O423" s="6" t="n">
        <x:v>85333.67</x:v>
      </x:c>
      <x:c r="P423" s="6" t="n">
        <x:v>30439.65</x:v>
      </x:c>
      <x:c r="Q423" s="1" t="n">
        <x:v>0</x:v>
      </x:c>
      <x:c r="R423" s="1" t="str">
        <x:v>Yes</x:v>
      </x:c>
      <x:c r="S423" s="7" t="n">
        <x:v>94.1</x:v>
      </x:c>
      <x:c r="T423" s="1" t="str">
        <x:v>Yes</x:v>
      </x:c>
      <x:c r="U423" s="1" t="str">
        <x:v>Completed</x:v>
      </x:c>
    </x:row>
    <x:row r="424">
      <x:c r="A424" s="1" t="str">
        <x:v>PUB-0423</x:v>
      </x:c>
      <x:c r="B424" s="5" t="n">
        <x:v>45725</x:v>
      </x:c>
      <x:c r="C424" s="5" t="n">
        <x:v>45735</x:v>
      </x:c>
      <x:c r="D424" s="5" t="n">
        <x:v>45727</x:v>
      </x:c>
      <x:c r="E424" s="1" t="str">
        <x:v>Editorial</x:v>
      </x:c>
      <x:c r="F424" s="1" t="str">
        <x:v>E-book</x:v>
      </x:c>
      <x:c r="G424" s="1" t="str">
        <x:v>Medium</x:v>
      </x:c>
      <x:c r="H424" s="1" t="str">
        <x:v>AI-Assisted</x:v>
      </x:c>
      <x:c r="I424" s="1" t="str">
        <x:v>Few-shot v2</x:v>
      </x:c>
      <x:c r="J424" s="1" t="n">
        <x:v>53</x:v>
      </x:c>
      <x:c r="K424" s="6" t="n">
        <x:v>15.3</x:v>
      </x:c>
      <x:c r="L424" s="6" t="n">
        <x:v>30.2</x:v>
      </x:c>
      <x:c r="M424" s="6" t="n">
        <x:v>14.9</x:v>
      </x:c>
      <x:c r="N424" s="6" t="n">
        <x:v>12055.96</x:v>
      </x:c>
      <x:c r="O424" s="6" t="n">
        <x:v>23823.74</x:v>
      </x:c>
      <x:c r="P424" s="6" t="n">
        <x:v>11767.78</x:v>
      </x:c>
      <x:c r="Q424" s="1" t="n">
        <x:v>0</x:v>
      </x:c>
      <x:c r="R424" s="1" t="str">
        <x:v>Yes</x:v>
      </x:c>
      <x:c r="S424" s="7" t="n">
        <x:v>77.8</x:v>
      </x:c>
      <x:c r="T424" s="1" t="str">
        <x:v>Yes</x:v>
      </x:c>
      <x:c r="U424" s="1" t="str">
        <x:v>Completed</x:v>
      </x:c>
    </x:row>
    <x:row r="425">
      <x:c r="A425" s="1" t="str">
        <x:v>PUB-0424</x:v>
      </x:c>
      <x:c r="B425" s="5" t="n">
        <x:v>46084</x:v>
      </x:c>
      <x:c r="C425" s="5" t="n">
        <x:v>46095</x:v>
      </x:c>
      <x:c r="D425" s="5" t="n">
        <x:v>46086</x:v>
      </x:c>
      <x:c r="E425" s="1" t="str">
        <x:v>Digital Learning</x:v>
      </x:c>
      <x:c r="F425" s="1" t="str">
        <x:v>Assessment</x:v>
      </x:c>
      <x:c r="G425" s="1" t="str">
        <x:v>Medium</x:v>
      </x:c>
      <x:c r="H425" s="1" t="str">
        <x:v>AI-Assisted</x:v>
      </x:c>
      <x:c r="I425" s="1" t="str">
        <x:v>Few-shot v2</x:v>
      </x:c>
      <x:c r="J425" s="1" t="n">
        <x:v>60</x:v>
      </x:c>
      <x:c r="K425" s="6" t="n">
        <x:v>11.5</x:v>
      </x:c>
      <x:c r="L425" s="6" t="n">
        <x:v>21.9</x:v>
      </x:c>
      <x:c r="M425" s="6" t="n">
        <x:v>10.4</x:v>
      </x:c>
      <x:c r="N425" s="6" t="n">
        <x:v>7601.71</x:v>
      </x:c>
      <x:c r="O425" s="6" t="n">
        <x:v>14465.44</x:v>
      </x:c>
      <x:c r="P425" s="6" t="n">
        <x:v>6863.73</x:v>
      </x:c>
      <x:c r="Q425" s="1" t="n">
        <x:v>0</x:v>
      </x:c>
      <x:c r="R425" s="1" t="str">
        <x:v>Yes</x:v>
      </x:c>
      <x:c r="S425" s="7" t="n">
        <x:v>89.3</x:v>
      </x:c>
      <x:c r="T425" s="1" t="str">
        <x:v>Yes</x:v>
      </x:c>
      <x:c r="U425" s="1" t="str">
        <x:v>Completed</x:v>
      </x:c>
    </x:row>
    <x:row r="426">
      <x:c r="A426" s="1" t="str">
        <x:v>PUB-0425</x:v>
      </x:c>
      <x:c r="B426" s="5" t="n">
        <x:v>46079</x:v>
      </x:c>
      <x:c r="C426" s="5" t="n">
        <x:v>46087</x:v>
      </x:c>
      <x:c r="D426" s="5" t="n">
        <x:v>46084</x:v>
      </x:c>
      <x:c r="E426" s="1" t="str">
        <x:v>Production</x:v>
      </x:c>
      <x:c r="F426" s="1" t="str">
        <x:v>Assessment</x:v>
      </x:c>
      <x:c r="G426" s="1" t="str">
        <x:v>Medium</x:v>
      </x:c>
      <x:c r="H426" s="1" t="str">
        <x:v>Manual</x:v>
      </x:c>
      <x:c r="I426" s="1" t="str">
        <x:v>Manual / NA</x:v>
      </x:c>
      <x:c r="J426" s="1" t="n">
        <x:v>66</x:v>
      </x:c>
      <x:c r="K426" s="6" t="n">
        <x:v>35.5</x:v>
      </x:c>
      <x:c r="L426" s="6" t="n">
        <x:v>33.9</x:v>
      </x:c>
      <x:c r="M426" s="6" t="n">
        <x:v>0</x:v>
      </x:c>
      <x:c r="N426" s="6" t="n">
        <x:v>30978.3</x:v>
      </x:c>
      <x:c r="O426" s="6" t="n">
        <x:v>29563.3</x:v>
      </x:c>
      <x:c r="P426" s="6" t="n">
        <x:v>0</x:v>
      </x:c>
      <x:c r="Q426" s="1" t="n">
        <x:v>0</x:v>
      </x:c>
      <x:c r="R426" s="1" t="str">
        <x:v>Yes</x:v>
      </x:c>
      <x:c r="S426" s="7" t="n">
        <x:v>91.6</x:v>
      </x:c>
      <x:c r="T426" s="1" t="str">
        <x:v>Yes</x:v>
      </x:c>
      <x:c r="U426" s="1" t="str">
        <x:v>Completed</x:v>
      </x:c>
    </x:row>
    <x:row r="427">
      <x:c r="A427" s="1" t="str">
        <x:v>PUB-0426</x:v>
      </x:c>
      <x:c r="B427" s="5" t="n">
        <x:v>46038</x:v>
      </x:c>
      <x:c r="C427" s="5" t="n">
        <x:v>46050</x:v>
      </x:c>
      <x:c r="D427" s="5" t="str"/>
      <x:c r="E427" s="1" t="str">
        <x:v>Digital Learning</x:v>
      </x:c>
      <x:c r="F427" s="1" t="str">
        <x:v>Illustration</x:v>
      </x:c>
      <x:c r="G427" s="1" t="str">
        <x:v>High</x:v>
      </x:c>
      <x:c r="H427" s="1" t="str">
        <x:v>AI-Assisted</x:v>
      </x:c>
      <x:c r="I427" s="1" t="str">
        <x:v>Few-shot v2</x:v>
      </x:c>
      <x:c r="J427" s="1" t="n">
        <x:v>62</x:v>
      </x:c>
      <x:c r="K427" s="6" t="n">
        <x:v>21.1</x:v>
      </x:c>
      <x:c r="L427" s="6" t="n">
        <x:v>40.6</x:v>
      </x:c>
      <x:c r="M427" s="6" t="n">
        <x:v>19.5</x:v>
      </x:c>
      <x:c r="N427" s="6" t="n">
        <x:v>19362.59</x:v>
      </x:c>
      <x:c r="O427" s="6" t="n">
        <x:v>37257.58</x:v>
      </x:c>
      <x:c r="P427" s="6" t="n">
        <x:v>17894.99</x:v>
      </x:c>
      <x:c r="Q427" s="1" t="n">
        <x:v>1</x:v>
      </x:c>
      <x:c r="R427" s="1" t="str"/>
      <x:c r="S427" s="7" t="n">
        <x:v>94.6</x:v>
      </x:c>
      <x:c r="T427" s="1" t="str"/>
      <x:c r="U427" s="1" t="str">
        <x:v>In Review</x:v>
      </x:c>
    </x:row>
    <x:row r="428">
      <x:c r="A428" s="1" t="str">
        <x:v>PUB-0427</x:v>
      </x:c>
      <x:c r="B428" s="5" t="n">
        <x:v>45815</x:v>
      </x:c>
      <x:c r="C428" s="5" t="n">
        <x:v>45828</x:v>
      </x:c>
      <x:c r="D428" s="5" t="n">
        <x:v>45822</x:v>
      </x:c>
      <x:c r="E428" s="1" t="str">
        <x:v>Editorial</x:v>
      </x:c>
      <x:c r="F428" s="1" t="str">
        <x:v>School Textbook</x:v>
      </x:c>
      <x:c r="G428" s="1" t="str">
        <x:v>Low</x:v>
      </x:c>
      <x:c r="H428" s="1" t="str">
        <x:v>Manual</x:v>
      </x:c>
      <x:c r="I428" s="1" t="str">
        <x:v>Manual / NA</x:v>
      </x:c>
      <x:c r="J428" s="1" t="n">
        <x:v>155</x:v>
      </x:c>
      <x:c r="K428" s="6" t="n">
        <x:v>48.6</x:v>
      </x:c>
      <x:c r="L428" s="6" t="n">
        <x:v>53</x:v>
      </x:c>
      <x:c r="M428" s="6" t="n">
        <x:v>4.4</x:v>
      </x:c>
      <x:c r="N428" s="6" t="n">
        <x:v>45258.44</x:v>
      </x:c>
      <x:c r="O428" s="6" t="n">
        <x:v>49390.84</x:v>
      </x:c>
      <x:c r="P428" s="6" t="n">
        <x:v>4132.4</x:v>
      </x:c>
      <x:c r="Q428" s="1" t="n">
        <x:v>1</x:v>
      </x:c>
      <x:c r="R428" s="1" t="str">
        <x:v>No</x:v>
      </x:c>
      <x:c r="S428" s="7" t="n">
        <x:v>80.4</x:v>
      </x:c>
      <x:c r="T428" s="1" t="str">
        <x:v>Yes</x:v>
      </x:c>
      <x:c r="U428" s="1" t="str">
        <x:v>Completed</x:v>
      </x:c>
    </x:row>
    <x:row r="429">
      <x:c r="A429" s="1" t="str">
        <x:v>PUB-0428</x:v>
      </x:c>
      <x:c r="B429" s="5" t="n">
        <x:v>45782</x:v>
      </x:c>
      <x:c r="C429" s="5" t="n">
        <x:v>45798</x:v>
      </x:c>
      <x:c r="D429" s="5" t="n">
        <x:v>45788</x:v>
      </x:c>
      <x:c r="E429" s="1" t="str">
        <x:v>Digital Learning</x:v>
      </x:c>
      <x:c r="F429" s="1" t="str">
        <x:v>Workbook</x:v>
      </x:c>
      <x:c r="G429" s="1" t="str">
        <x:v>High</x:v>
      </x:c>
      <x:c r="H429" s="1" t="str">
        <x:v>AI-Assisted</x:v>
      </x:c>
      <x:c r="I429" s="1" t="str">
        <x:v>Structured v3</x:v>
      </x:c>
      <x:c r="J429" s="1" t="n">
        <x:v>125</x:v>
      </x:c>
      <x:c r="K429" s="6" t="n">
        <x:v>46.4</x:v>
      </x:c>
      <x:c r="L429" s="6" t="n">
        <x:v>65.1</x:v>
      </x:c>
      <x:c r="M429" s="6" t="n">
        <x:v>18.7</x:v>
      </x:c>
      <x:c r="N429" s="6" t="n">
        <x:v>42830.58</x:v>
      </x:c>
      <x:c r="O429" s="6" t="n">
        <x:v>60059.49</x:v>
      </x:c>
      <x:c r="P429" s="6" t="n">
        <x:v>17228.91</x:v>
      </x:c>
      <x:c r="Q429" s="1" t="n">
        <x:v>0</x:v>
      </x:c>
      <x:c r="R429" s="1" t="str">
        <x:v>Yes</x:v>
      </x:c>
      <x:c r="S429" s="7" t="n">
        <x:v>93.4</x:v>
      </x:c>
      <x:c r="T429" s="1" t="str">
        <x:v>Yes</x:v>
      </x:c>
      <x:c r="U429" s="1" t="str">
        <x:v>Completed</x:v>
      </x:c>
    </x:row>
    <x:row r="430">
      <x:c r="A430" s="1" t="str">
        <x:v>PUB-0429</x:v>
      </x:c>
      <x:c r="B430" s="5" t="n">
        <x:v>45954</x:v>
      </x:c>
      <x:c r="C430" s="5" t="n">
        <x:v>45958</x:v>
      </x:c>
      <x:c r="D430" s="5" t="n">
        <x:v>45958</x:v>
      </x:c>
      <x:c r="E430" s="1" t="str">
        <x:v>Digital Learning</x:v>
      </x:c>
      <x:c r="F430" s="1" t="str">
        <x:v>Illustration</x:v>
      </x:c>
      <x:c r="G430" s="1" t="str">
        <x:v>High</x:v>
      </x:c>
      <x:c r="H430" s="1" t="str">
        <x:v>Manual</x:v>
      </x:c>
      <x:c r="I430" s="1" t="str">
        <x:v>Manual / NA</x:v>
      </x:c>
      <x:c r="J430" s="1" t="n">
        <x:v>22</x:v>
      </x:c>
      <x:c r="K430" s="6" t="n">
        <x:v>16.1</x:v>
      </x:c>
      <x:c r="L430" s="6" t="n">
        <x:v>15.1</x:v>
      </x:c>
      <x:c r="M430" s="6" t="n">
        <x:v>0</x:v>
      </x:c>
      <x:c r="N430" s="6" t="n">
        <x:v>13191.41</x:v>
      </x:c>
      <x:c r="O430" s="6" t="n">
        <x:v>12379.38</x:v>
      </x:c>
      <x:c r="P430" s="6" t="n">
        <x:v>0</x:v>
      </x:c>
      <x:c r="Q430" s="1" t="n">
        <x:v>1</x:v>
      </x:c>
      <x:c r="R430" s="1" t="str">
        <x:v>No</x:v>
      </x:c>
      <x:c r="S430" s="7" t="n">
        <x:v>91.4</x:v>
      </x:c>
      <x:c r="T430" s="1" t="str">
        <x:v>Yes</x:v>
      </x:c>
      <x:c r="U430" s="1" t="str">
        <x:v>Completed</x:v>
      </x:c>
    </x:row>
    <x:row r="431">
      <x:c r="A431" s="1" t="str">
        <x:v>PUB-0430</x:v>
      </x:c>
      <x:c r="B431" s="5" t="n">
        <x:v>45883</x:v>
      </x:c>
      <x:c r="C431" s="5" t="n">
        <x:v>45901</x:v>
      </x:c>
      <x:c r="D431" s="5" t="str"/>
      <x:c r="E431" s="1" t="str">
        <x:v>Design</x:v>
      </x:c>
      <x:c r="F431" s="1" t="str">
        <x:v>School Textbook</x:v>
      </x:c>
      <x:c r="G431" s="1" t="str">
        <x:v>Medium</x:v>
      </x:c>
      <x:c r="H431" s="1" t="str">
        <x:v>AI-Assisted</x:v>
      </x:c>
      <x:c r="I431" s="1" t="str">
        <x:v>Editorial QA</x:v>
      </x:c>
      <x:c r="J431" s="1" t="n">
        <x:v>157</x:v>
      </x:c>
      <x:c r="K431" s="6" t="n">
        <x:v>55.5</x:v>
      </x:c>
      <x:c r="L431" s="6" t="n">
        <x:v>83.5</x:v>
      </x:c>
      <x:c r="M431" s="6" t="n">
        <x:v>28</x:v>
      </x:c>
      <x:c r="N431" s="6" t="n">
        <x:v>41506.11</x:v>
      </x:c>
      <x:c r="O431" s="6" t="n">
        <x:v>62450.26</x:v>
      </x:c>
      <x:c r="P431" s="6" t="n">
        <x:v>20944.15</x:v>
      </x:c>
      <x:c r="Q431" s="1" t="n">
        <x:v>2</x:v>
      </x:c>
      <x:c r="R431" s="1" t="str"/>
      <x:c r="S431" s="7" t="n">
        <x:v>87.9</x:v>
      </x:c>
      <x:c r="T431" s="1" t="str"/>
      <x:c r="U431" s="1" t="str">
        <x:v>In Progress</x:v>
      </x:c>
    </x:row>
    <x:row r="432">
      <x:c r="A432" s="1" t="str">
        <x:v>PUB-0431</x:v>
      </x:c>
      <x:c r="B432" s="5" t="n">
        <x:v>46182</x:v>
      </x:c>
      <x:c r="C432" s="5" t="n">
        <x:v>46188</x:v>
      </x:c>
      <x:c r="D432" s="5" t="str"/>
      <x:c r="E432" s="1" t="str">
        <x:v>Design</x:v>
      </x:c>
      <x:c r="F432" s="1" t="str">
        <x:v>Assessment</x:v>
      </x:c>
      <x:c r="G432" s="1" t="str">
        <x:v>High</x:v>
      </x:c>
      <x:c r="H432" s="1" t="str">
        <x:v>AI-Assisted</x:v>
      </x:c>
      <x:c r="I432" s="1" t="str">
        <x:v>Few-shot v2</x:v>
      </x:c>
      <x:c r="J432" s="1" t="n">
        <x:v>11</x:v>
      </x:c>
      <x:c r="K432" s="6" t="n">
        <x:v>3.3</x:v>
      </x:c>
      <x:c r="L432" s="6" t="n">
        <x:v>6.4</x:v>
      </x:c>
      <x:c r="M432" s="6" t="n">
        <x:v>3.1</x:v>
      </x:c>
      <x:c r="N432" s="6" t="n">
        <x:v>3553.78</x:v>
      </x:c>
      <x:c r="O432" s="6" t="n">
        <x:v>6871.27</x:v>
      </x:c>
      <x:c r="P432" s="6" t="n">
        <x:v>3317.49</x:v>
      </x:c>
      <x:c r="Q432" s="1" t="n">
        <x:v>0</x:v>
      </x:c>
      <x:c r="R432" s="1" t="str"/>
      <x:c r="S432" s="7" t="n">
        <x:v>85.9</x:v>
      </x:c>
      <x:c r="T432" s="1" t="str"/>
      <x:c r="U432" s="1" t="str">
        <x:v>In Progress</x:v>
      </x:c>
    </x:row>
    <x:row r="433">
      <x:c r="A433" s="1" t="str">
        <x:v>PUB-0432</x:v>
      </x:c>
      <x:c r="B433" s="5" t="n">
        <x:v>45747</x:v>
      </x:c>
      <x:c r="C433" s="5" t="n">
        <x:v>45760</x:v>
      </x:c>
      <x:c r="D433" s="5" t="n">
        <x:v>45756</x:v>
      </x:c>
      <x:c r="E433" s="1" t="str">
        <x:v>Editorial</x:v>
      </x:c>
      <x:c r="F433" s="1" t="str">
        <x:v>E-book</x:v>
      </x:c>
      <x:c r="G433" s="1" t="str">
        <x:v>High</x:v>
      </x:c>
      <x:c r="H433" s="1" t="str">
        <x:v>Manual</x:v>
      </x:c>
      <x:c r="I433" s="1" t="str">
        <x:v>Manual / NA</x:v>
      </x:c>
      <x:c r="J433" s="1" t="n">
        <x:v>114</x:v>
      </x:c>
      <x:c r="K433" s="6" t="n">
        <x:v>66.3</x:v>
      </x:c>
      <x:c r="L433" s="6" t="n">
        <x:v>63.7</x:v>
      </x:c>
      <x:c r="M433" s="6" t="n">
        <x:v>0</x:v>
      </x:c>
      <x:c r="N433" s="6" t="n">
        <x:v>75262.46</x:v>
      </x:c>
      <x:c r="O433" s="6" t="n">
        <x:v>72343</x:v>
      </x:c>
      <x:c r="P433" s="6" t="n">
        <x:v>0</x:v>
      </x:c>
      <x:c r="Q433" s="1" t="n">
        <x:v>0</x:v>
      </x:c>
      <x:c r="R433" s="1" t="str">
        <x:v>Yes</x:v>
      </x:c>
      <x:c r="S433" s="7" t="n">
        <x:v>88.2</x:v>
      </x:c>
      <x:c r="T433" s="1" t="str">
        <x:v>Yes</x:v>
      </x:c>
      <x:c r="U433" s="1" t="str">
        <x:v>Completed</x:v>
      </x:c>
    </x:row>
    <x:row r="434">
      <x:c r="A434" s="1" t="str">
        <x:v>PUB-0433</x:v>
      </x:c>
      <x:c r="B434" s="5" t="n">
        <x:v>45746</x:v>
      </x:c>
      <x:c r="C434" s="5" t="n">
        <x:v>45761</x:v>
      </x:c>
      <x:c r="D434" s="5" t="n">
        <x:v>45758</x:v>
      </x:c>
      <x:c r="E434" s="1" t="str">
        <x:v>Editorial</x:v>
      </x:c>
      <x:c r="F434" s="1" t="str">
        <x:v>Workbook</x:v>
      </x:c>
      <x:c r="G434" s="1" t="str">
        <x:v>High</x:v>
      </x:c>
      <x:c r="H434" s="1" t="str">
        <x:v>Manual</x:v>
      </x:c>
      <x:c r="I434" s="1" t="str">
        <x:v>Manual / NA</x:v>
      </x:c>
      <x:c r="J434" s="1" t="n">
        <x:v>142</x:v>
      </x:c>
      <x:c r="K434" s="6" t="n">
        <x:v>75.3</x:v>
      </x:c>
      <x:c r="L434" s="6" t="n">
        <x:v>70.2</x:v>
      </x:c>
      <x:c r="M434" s="6" t="n">
        <x:v>0</x:v>
      </x:c>
      <x:c r="N434" s="6" t="n">
        <x:v>77412.69</x:v>
      </x:c>
      <x:c r="O434" s="6" t="n">
        <x:v>72174.54</x:v>
      </x:c>
      <x:c r="P434" s="6" t="n">
        <x:v>0</x:v>
      </x:c>
      <x:c r="Q434" s="1" t="n">
        <x:v>1</x:v>
      </x:c>
      <x:c r="R434" s="1" t="str">
        <x:v>No</x:v>
      </x:c>
      <x:c r="S434" s="7" t="n">
        <x:v>88.3</x:v>
      </x:c>
      <x:c r="T434" s="1" t="str">
        <x:v>Yes</x:v>
      </x:c>
      <x:c r="U434" s="1" t="str">
        <x:v>Completed</x:v>
      </x:c>
    </x:row>
    <x:row r="435">
      <x:c r="A435" s="1" t="str">
        <x:v>PUB-0434</x:v>
      </x:c>
      <x:c r="B435" s="5" t="n">
        <x:v>45798</x:v>
      </x:c>
      <x:c r="C435" s="5" t="n">
        <x:v>45805</x:v>
      </x:c>
      <x:c r="D435" s="5" t="str"/>
      <x:c r="E435" s="1" t="str">
        <x:v>Editorial</x:v>
      </x:c>
      <x:c r="F435" s="1" t="str">
        <x:v>Illustration</x:v>
      </x:c>
      <x:c r="G435" s="1" t="str">
        <x:v>High</x:v>
      </x:c>
      <x:c r="H435" s="1" t="str">
        <x:v>AI-Assisted</x:v>
      </x:c>
      <x:c r="I435" s="1" t="str">
        <x:v>Few-shot v2</x:v>
      </x:c>
      <x:c r="J435" s="1" t="n">
        <x:v>42</x:v>
      </x:c>
      <x:c r="K435" s="6" t="n">
        <x:v>14.5</x:v>
      </x:c>
      <x:c r="L435" s="6" t="n">
        <x:v>23.7</x:v>
      </x:c>
      <x:c r="M435" s="6" t="n">
        <x:v>9.2</x:v>
      </x:c>
      <x:c r="N435" s="6" t="n">
        <x:v>12785.03</x:v>
      </x:c>
      <x:c r="O435" s="6" t="n">
        <x:v>20866.21</x:v>
      </x:c>
      <x:c r="P435" s="6" t="n">
        <x:v>8081.18</x:v>
      </x:c>
      <x:c r="Q435" s="1" t="n">
        <x:v>1</x:v>
      </x:c>
      <x:c r="R435" s="1" t="str"/>
      <x:c r="S435" s="7" t="n">
        <x:v>84.5</x:v>
      </x:c>
      <x:c r="T435" s="1" t="str"/>
      <x:c r="U435" s="1" t="str">
        <x:v>In Progress</x:v>
      </x:c>
    </x:row>
    <x:row r="436">
      <x:c r="A436" s="1" t="str">
        <x:v>PUB-0435</x:v>
      </x:c>
      <x:c r="B436" s="5" t="n">
        <x:v>46141</x:v>
      </x:c>
      <x:c r="C436" s="5" t="n">
        <x:v>46148</x:v>
      </x:c>
      <x:c r="D436" s="5" t="n">
        <x:v>46142</x:v>
      </x:c>
      <x:c r="E436" s="1" t="str">
        <x:v>Editorial</x:v>
      </x:c>
      <x:c r="F436" s="1" t="str">
        <x:v>Illustration</x:v>
      </x:c>
      <x:c r="G436" s="1" t="str">
        <x:v>Low</x:v>
      </x:c>
      <x:c r="H436" s="1" t="str">
        <x:v>AI-Assisted</x:v>
      </x:c>
      <x:c r="I436" s="1" t="str">
        <x:v>Structured v3</x:v>
      </x:c>
      <x:c r="J436" s="1" t="n">
        <x:v>35</x:v>
      </x:c>
      <x:c r="K436" s="6" t="n">
        <x:v>9.1</x:v>
      </x:c>
      <x:c r="L436" s="6" t="n">
        <x:v>15.2</x:v>
      </x:c>
      <x:c r="M436" s="6" t="n">
        <x:v>6.1</x:v>
      </x:c>
      <x:c r="N436" s="6" t="n">
        <x:v>10331.35</x:v>
      </x:c>
      <x:c r="O436" s="6" t="n">
        <x:v>17211.83</x:v>
      </x:c>
      <x:c r="P436" s="6" t="n">
        <x:v>6880.48</x:v>
      </x:c>
      <x:c r="Q436" s="1" t="n">
        <x:v>0</x:v>
      </x:c>
      <x:c r="R436" s="1" t="str">
        <x:v>Yes</x:v>
      </x:c>
      <x:c r="S436" s="7" t="n">
        <x:v>84.9</x:v>
      </x:c>
      <x:c r="T436" s="1" t="str">
        <x:v>Yes</x:v>
      </x:c>
      <x:c r="U436" s="1" t="str">
        <x:v>Completed</x:v>
      </x:c>
    </x:row>
    <x:row r="437">
      <x:c r="A437" s="1" t="str">
        <x:v>PUB-0436</x:v>
      </x:c>
      <x:c r="B437" s="5" t="n">
        <x:v>46145</x:v>
      </x:c>
      <x:c r="C437" s="5" t="n">
        <x:v>46150</x:v>
      </x:c>
      <x:c r="D437" s="5" t="n">
        <x:v>46146</x:v>
      </x:c>
      <x:c r="E437" s="1" t="str">
        <x:v>Digital Learning</x:v>
      </x:c>
      <x:c r="F437" s="1" t="str">
        <x:v>Illustration</x:v>
      </x:c>
      <x:c r="G437" s="1" t="str">
        <x:v>High</x:v>
      </x:c>
      <x:c r="H437" s="1" t="str">
        <x:v>AI-Assisted</x:v>
      </x:c>
      <x:c r="I437" s="1" t="str">
        <x:v>Editorial QA</x:v>
      </x:c>
      <x:c r="J437" s="1" t="n">
        <x:v>6</x:v>
      </x:c>
      <x:c r="K437" s="6" t="n">
        <x:v>1.5</x:v>
      </x:c>
      <x:c r="L437" s="6" t="n">
        <x:v>3.1</x:v>
      </x:c>
      <x:c r="M437" s="6" t="n">
        <x:v>1.6</x:v>
      </x:c>
      <x:c r="N437" s="6" t="n">
        <x:v>1214.76</x:v>
      </x:c>
      <x:c r="O437" s="6" t="n">
        <x:v>2538.81</x:v>
      </x:c>
      <x:c r="P437" s="6" t="n">
        <x:v>1324.05</x:v>
      </x:c>
      <x:c r="Q437" s="1" t="n">
        <x:v>0</x:v>
      </x:c>
      <x:c r="R437" s="1" t="str">
        <x:v>Yes</x:v>
      </x:c>
      <x:c r="S437" s="7" t="n">
        <x:v>93.8</x:v>
      </x:c>
      <x:c r="T437" s="1" t="str">
        <x:v>Yes</x:v>
      </x:c>
      <x:c r="U437" s="1" t="str">
        <x:v>Completed</x:v>
      </x:c>
    </x:row>
    <x:row r="438">
      <x:c r="A438" s="1" t="str">
        <x:v>PUB-0437</x:v>
      </x:c>
      <x:c r="B438" s="5" t="n">
        <x:v>45937</x:v>
      </x:c>
      <x:c r="C438" s="5" t="n">
        <x:v>45947</x:v>
      </x:c>
      <x:c r="D438" s="5" t="n">
        <x:v>45938</x:v>
      </x:c>
      <x:c r="E438" s="1" t="str">
        <x:v>Design</x:v>
      </x:c>
      <x:c r="F438" s="1" t="str">
        <x:v>Assessment</x:v>
      </x:c>
      <x:c r="G438" s="1" t="str">
        <x:v>Medium</x:v>
      </x:c>
      <x:c r="H438" s="1" t="str">
        <x:v>Manual</x:v>
      </x:c>
      <x:c r="I438" s="1" t="str">
        <x:v>Manual / NA</x:v>
      </x:c>
      <x:c r="J438" s="1" t="n">
        <x:v>10</x:v>
      </x:c>
      <x:c r="K438" s="6" t="n">
        <x:v>5.1</x:v>
      </x:c>
      <x:c r="L438" s="6" t="n">
        <x:v>4.8</x:v>
      </x:c>
      <x:c r="M438" s="6" t="n">
        <x:v>0</x:v>
      </x:c>
      <x:c r="N438" s="6" t="n">
        <x:v>4625.36</x:v>
      </x:c>
      <x:c r="O438" s="6" t="n">
        <x:v>4321.67</x:v>
      </x:c>
      <x:c r="P438" s="6" t="n">
        <x:v>0</x:v>
      </x:c>
      <x:c r="Q438" s="1" t="n">
        <x:v>0</x:v>
      </x:c>
      <x:c r="R438" s="1" t="str">
        <x:v>Yes</x:v>
      </x:c>
      <x:c r="S438" s="7" t="n">
        <x:v>86</x:v>
      </x:c>
      <x:c r="T438" s="1" t="str">
        <x:v>Yes</x:v>
      </x:c>
      <x:c r="U438" s="1" t="str">
        <x:v>Completed</x:v>
      </x:c>
    </x:row>
    <x:row r="439">
      <x:c r="A439" s="1" t="str">
        <x:v>PUB-0438</x:v>
      </x:c>
      <x:c r="B439" s="5" t="n">
        <x:v>45981</x:v>
      </x:c>
      <x:c r="C439" s="5" t="n">
        <x:v>45988</x:v>
      </x:c>
      <x:c r="D439" s="5" t="n">
        <x:v>45983</x:v>
      </x:c>
      <x:c r="E439" s="1" t="str">
        <x:v>Digital Learning</x:v>
      </x:c>
      <x:c r="F439" s="1" t="str">
        <x:v>Illustration</x:v>
      </x:c>
      <x:c r="G439" s="1" t="str">
        <x:v>Low</x:v>
      </x:c>
      <x:c r="H439" s="1" t="str">
        <x:v>AI-Assisted</x:v>
      </x:c>
      <x:c r="I439" s="1" t="str">
        <x:v>Editorial QA</x:v>
      </x:c>
      <x:c r="J439" s="1" t="n">
        <x:v>50</x:v>
      </x:c>
      <x:c r="K439" s="6" t="n">
        <x:v>13.5</x:v>
      </x:c>
      <x:c r="L439" s="6" t="n">
        <x:v>20</x:v>
      </x:c>
      <x:c r="M439" s="6" t="n">
        <x:v>6.5</x:v>
      </x:c>
      <x:c r="N439" s="6" t="n">
        <x:v>8862.06</x:v>
      </x:c>
      <x:c r="O439" s="6" t="n">
        <x:v>13123.74</x:v>
      </x:c>
      <x:c r="P439" s="6" t="n">
        <x:v>4261.68</x:v>
      </x:c>
      <x:c r="Q439" s="1" t="n">
        <x:v>0</x:v>
      </x:c>
      <x:c r="R439" s="1" t="str">
        <x:v>Yes</x:v>
      </x:c>
      <x:c r="S439" s="7" t="n">
        <x:v>91.2</x:v>
      </x:c>
      <x:c r="T439" s="1" t="str">
        <x:v>Yes</x:v>
      </x:c>
      <x:c r="U439" s="1" t="str">
        <x:v>Completed</x:v>
      </x:c>
    </x:row>
    <x:row r="440">
      <x:c r="A440" s="1" t="str">
        <x:v>PUB-0439</x:v>
      </x:c>
      <x:c r="B440" s="5" t="n">
        <x:v>45824</x:v>
      </x:c>
      <x:c r="C440" s="5" t="n">
        <x:v>45840</x:v>
      </x:c>
      <x:c r="D440" s="5" t="n">
        <x:v>45831</x:v>
      </x:c>
      <x:c r="E440" s="1" t="str">
        <x:v>Editorial</x:v>
      </x:c>
      <x:c r="F440" s="1" t="str">
        <x:v>School Textbook</x:v>
      </x:c>
      <x:c r="G440" s="1" t="str">
        <x:v>Medium</x:v>
      </x:c>
      <x:c r="H440" s="1" t="str">
        <x:v>AI-Assisted</x:v>
      </x:c>
      <x:c r="I440" s="1" t="str">
        <x:v>Structured v3</x:v>
      </x:c>
      <x:c r="J440" s="1" t="n">
        <x:v>151</x:v>
      </x:c>
      <x:c r="K440" s="6" t="n">
        <x:v>49.7</x:v>
      </x:c>
      <x:c r="L440" s="6" t="n">
        <x:v>82</x:v>
      </x:c>
      <x:c r="M440" s="6" t="n">
        <x:v>32.3</x:v>
      </x:c>
      <x:c r="N440" s="6" t="n">
        <x:v>45527.58</x:v>
      </x:c>
      <x:c r="O440" s="6" t="n">
        <x:v>75097.28</x:v>
      </x:c>
      <x:c r="P440" s="6" t="n">
        <x:v>29569.7</x:v>
      </x:c>
      <x:c r="Q440" s="1" t="n">
        <x:v>0</x:v>
      </x:c>
      <x:c r="R440" s="1" t="str">
        <x:v>Yes</x:v>
      </x:c>
      <x:c r="S440" s="7" t="n">
        <x:v>89.1</x:v>
      </x:c>
      <x:c r="T440" s="1" t="str">
        <x:v>Yes</x:v>
      </x:c>
      <x:c r="U440" s="1" t="str">
        <x:v>Completed</x:v>
      </x:c>
    </x:row>
    <x:row r="441">
      <x:c r="A441" s="1" t="str">
        <x:v>PUB-0440</x:v>
      </x:c>
      <x:c r="B441" s="5" t="n">
        <x:v>45792</x:v>
      </x:c>
      <x:c r="C441" s="5" t="n">
        <x:v>45813</x:v>
      </x:c>
      <x:c r="D441" s="5" t="n">
        <x:v>45802</x:v>
      </x:c>
      <x:c r="E441" s="1" t="str">
        <x:v>Digital Learning</x:v>
      </x:c>
      <x:c r="F441" s="1" t="str">
        <x:v>Workbook</x:v>
      </x:c>
      <x:c r="G441" s="1" t="str">
        <x:v>Medium</x:v>
      </x:c>
      <x:c r="H441" s="1" t="str">
        <x:v>AI-Assisted</x:v>
      </x:c>
      <x:c r="I441" s="1" t="str">
        <x:v>Few-shot v2</x:v>
      </x:c>
      <x:c r="J441" s="1" t="n">
        <x:v>217</x:v>
      </x:c>
      <x:c r="K441" s="6" t="n">
        <x:v>75.9</x:v>
      </x:c>
      <x:c r="L441" s="6" t="n">
        <x:v>125.3</x:v>
      </x:c>
      <x:c r="M441" s="6" t="n">
        <x:v>49.4</x:v>
      </x:c>
      <x:c r="N441" s="6" t="n">
        <x:v>86150.73</x:v>
      </x:c>
      <x:c r="O441" s="6" t="n">
        <x:v>142185.2</x:v>
      </x:c>
      <x:c r="P441" s="6" t="n">
        <x:v>56034.47</x:v>
      </x:c>
      <x:c r="Q441" s="1" t="n">
        <x:v>0</x:v>
      </x:c>
      <x:c r="R441" s="1" t="str">
        <x:v>Yes</x:v>
      </x:c>
      <x:c r="S441" s="7" t="n">
        <x:v>86.3</x:v>
      </x:c>
      <x:c r="T441" s="1" t="str">
        <x:v>Yes</x:v>
      </x:c>
      <x:c r="U441" s="1" t="str">
        <x:v>Completed</x:v>
      </x:c>
    </x:row>
    <x:row r="442">
      <x:c r="A442" s="1" t="str">
        <x:v>PUB-0441</x:v>
      </x:c>
      <x:c r="B442" s="5" t="n">
        <x:v>45779</x:v>
      </x:c>
      <x:c r="C442" s="5" t="n">
        <x:v>45785</x:v>
      </x:c>
      <x:c r="D442" s="5" t="n">
        <x:v>45781</x:v>
      </x:c>
      <x:c r="E442" s="1" t="str">
        <x:v>Editorial</x:v>
      </x:c>
      <x:c r="F442" s="1" t="str">
        <x:v>E-book</x:v>
      </x:c>
      <x:c r="G442" s="1" t="str">
        <x:v>Low</x:v>
      </x:c>
      <x:c r="H442" s="1" t="str">
        <x:v>AI-Assisted</x:v>
      </x:c>
      <x:c r="I442" s="1" t="str">
        <x:v>Structured v3</x:v>
      </x:c>
      <x:c r="J442" s="1" t="n">
        <x:v>40</x:v>
      </x:c>
      <x:c r="K442" s="6" t="n">
        <x:v>11</x:v>
      </x:c>
      <x:c r="L442" s="6" t="n">
        <x:v>18.9</x:v>
      </x:c>
      <x:c r="M442" s="6" t="n">
        <x:v>7.9</x:v>
      </x:c>
      <x:c r="N442" s="6" t="n">
        <x:v>11346.63</x:v>
      </x:c>
      <x:c r="O442" s="6" t="n">
        <x:v>19482.87</x:v>
      </x:c>
      <x:c r="P442" s="6" t="n">
        <x:v>8136.24</x:v>
      </x:c>
      <x:c r="Q442" s="1" t="n">
        <x:v>1</x:v>
      </x:c>
      <x:c r="R442" s="1" t="str">
        <x:v>No</x:v>
      </x:c>
      <x:c r="S442" s="7" t="n">
        <x:v>81.6</x:v>
      </x:c>
      <x:c r="T442" s="1" t="str">
        <x:v>Yes</x:v>
      </x:c>
      <x:c r="U442" s="1" t="str">
        <x:v>Completed</x:v>
      </x:c>
    </x:row>
    <x:row r="443">
      <x:c r="A443" s="1" t="str">
        <x:v>PUB-0442</x:v>
      </x:c>
      <x:c r="B443" s="5" t="n">
        <x:v>46183</x:v>
      </x:c>
      <x:c r="C443" s="5" t="n">
        <x:v>46188</x:v>
      </x:c>
      <x:c r="D443" s="5" t="str"/>
      <x:c r="E443" s="1" t="str">
        <x:v>Production</x:v>
      </x:c>
      <x:c r="F443" s="1" t="str">
        <x:v>Workbook</x:v>
      </x:c>
      <x:c r="G443" s="1" t="str">
        <x:v>Low</x:v>
      </x:c>
      <x:c r="H443" s="1" t="str">
        <x:v>Manual</x:v>
      </x:c>
      <x:c r="I443" s="1" t="str">
        <x:v>Manual / NA</x:v>
      </x:c>
      <x:c r="J443" s="1" t="n">
        <x:v>19</x:v>
      </x:c>
      <x:c r="K443" s="6" t="n">
        <x:v>8.1</x:v>
      </x:c>
      <x:c r="L443" s="6" t="n">
        <x:v>7.9</x:v>
      </x:c>
      <x:c r="M443" s="6" t="n">
        <x:v>0</x:v>
      </x:c>
      <x:c r="N443" s="6" t="n">
        <x:v>8433.6</x:v>
      </x:c>
      <x:c r="O443" s="6" t="n">
        <x:v>8222.26</x:v>
      </x:c>
      <x:c r="P443" s="6" t="n">
        <x:v>0</x:v>
      </x:c>
      <x:c r="Q443" s="1" t="n">
        <x:v>0</x:v>
      </x:c>
      <x:c r="R443" s="1" t="str"/>
      <x:c r="S443" s="7" t="n">
        <x:v>85.6</x:v>
      </x:c>
      <x:c r="T443" s="1" t="str"/>
      <x:c r="U443" s="1" t="str">
        <x:v>In Review</x:v>
      </x:c>
    </x:row>
    <x:row r="444">
      <x:c r="A444" s="1" t="str">
        <x:v>PUB-0443</x:v>
      </x:c>
      <x:c r="B444" s="5" t="n">
        <x:v>45847</x:v>
      </x:c>
      <x:c r="C444" s="5" t="n">
        <x:v>45855</x:v>
      </x:c>
      <x:c r="D444" s="5" t="n">
        <x:v>45850</x:v>
      </x:c>
      <x:c r="E444" s="1" t="str">
        <x:v>Production</x:v>
      </x:c>
      <x:c r="F444" s="1" t="str">
        <x:v>School Textbook</x:v>
      </x:c>
      <x:c r="G444" s="1" t="str">
        <x:v>High</x:v>
      </x:c>
      <x:c r="H444" s="1" t="str">
        <x:v>AI-Assisted</x:v>
      </x:c>
      <x:c r="I444" s="1" t="str">
        <x:v>Editorial QA</x:v>
      </x:c>
      <x:c r="J444" s="1" t="n">
        <x:v>79</x:v>
      </x:c>
      <x:c r="K444" s="6" t="n">
        <x:v>23.6</x:v>
      </x:c>
      <x:c r="L444" s="6" t="n">
        <x:v>45.5</x:v>
      </x:c>
      <x:c r="M444" s="6" t="n">
        <x:v>21.9</x:v>
      </x:c>
      <x:c r="N444" s="6" t="n">
        <x:v>21247.49</x:v>
      </x:c>
      <x:c r="O444" s="6" t="n">
        <x:v>40983.09</x:v>
      </x:c>
      <x:c r="P444" s="6" t="n">
        <x:v>19735.6</x:v>
      </x:c>
      <x:c r="Q444" s="1" t="n">
        <x:v>0</x:v>
      </x:c>
      <x:c r="R444" s="1" t="str">
        <x:v>Yes</x:v>
      </x:c>
      <x:c r="S444" s="7" t="n">
        <x:v>89.4</x:v>
      </x:c>
      <x:c r="T444" s="1" t="str">
        <x:v>Yes</x:v>
      </x:c>
      <x:c r="U444" s="1" t="str">
        <x:v>Completed</x:v>
      </x:c>
    </x:row>
    <x:row r="445">
      <x:c r="A445" s="1" t="str">
        <x:v>PUB-0444</x:v>
      </x:c>
      <x:c r="B445" s="5" t="n">
        <x:v>46199</x:v>
      </x:c>
      <x:c r="C445" s="5" t="n">
        <x:v>46212</x:v>
      </x:c>
      <x:c r="D445" s="5" t="n">
        <x:v>46205</x:v>
      </x:c>
      <x:c r="E445" s="1" t="str">
        <x:v>Editorial</x:v>
      </x:c>
      <x:c r="F445" s="1" t="str">
        <x:v>School Textbook</x:v>
      </x:c>
      <x:c r="G445" s="1" t="str">
        <x:v>Low</x:v>
      </x:c>
      <x:c r="H445" s="1" t="str">
        <x:v>AI-Assisted</x:v>
      </x:c>
      <x:c r="I445" s="1" t="str">
        <x:v>Visual Brief</x:v>
      </x:c>
      <x:c r="J445" s="1" t="n">
        <x:v>145</x:v>
      </x:c>
      <x:c r="K445" s="6" t="n">
        <x:v>43.4</x:v>
      </x:c>
      <x:c r="L445" s="6" t="n">
        <x:v>61.8</x:v>
      </x:c>
      <x:c r="M445" s="6" t="n">
        <x:v>18.4</x:v>
      </x:c>
      <x:c r="N445" s="6" t="n">
        <x:v>48184.35</x:v>
      </x:c>
      <x:c r="O445" s="6" t="n">
        <x:v>68587.97</x:v>
      </x:c>
      <x:c r="P445" s="6" t="n">
        <x:v>20403.62</x:v>
      </x:c>
      <x:c r="Q445" s="1" t="n">
        <x:v>0</x:v>
      </x:c>
      <x:c r="R445" s="1" t="str">
        <x:v>Yes</x:v>
      </x:c>
      <x:c r="S445" s="7" t="n">
        <x:v>96.1</x:v>
      </x:c>
      <x:c r="T445" s="1" t="str">
        <x:v>Yes</x:v>
      </x:c>
      <x:c r="U445" s="1" t="str">
        <x:v>Completed</x:v>
      </x:c>
    </x:row>
    <x:row r="446">
      <x:c r="A446" s="1" t="str">
        <x:v>PUB-0445</x:v>
      </x:c>
      <x:c r="B446" s="5" t="n">
        <x:v>45847</x:v>
      </x:c>
      <x:c r="C446" s="5" t="n">
        <x:v>45859</x:v>
      </x:c>
      <x:c r="D446" s="5" t="n">
        <x:v>45851</x:v>
      </x:c>
      <x:c r="E446" s="1" t="str">
        <x:v>Design</x:v>
      </x:c>
      <x:c r="F446" s="1" t="str">
        <x:v>E-book</x:v>
      </x:c>
      <x:c r="G446" s="1" t="str">
        <x:v>Medium</x:v>
      </x:c>
      <x:c r="H446" s="1" t="str">
        <x:v>AI-Assisted</x:v>
      </x:c>
      <x:c r="I446" s="1" t="str">
        <x:v>Few-shot v2</x:v>
      </x:c>
      <x:c r="J446" s="1" t="n">
        <x:v>105</x:v>
      </x:c>
      <x:c r="K446" s="6" t="n">
        <x:v>28.7</x:v>
      </x:c>
      <x:c r="L446" s="6" t="n">
        <x:v>49.7</x:v>
      </x:c>
      <x:c r="M446" s="6" t="n">
        <x:v>21</x:v>
      </x:c>
      <x:c r="N446" s="6" t="n">
        <x:v>29581.23</x:v>
      </x:c>
      <x:c r="O446" s="6" t="n">
        <x:v>51204.58</x:v>
      </x:c>
      <x:c r="P446" s="6" t="n">
        <x:v>21623.35</x:v>
      </x:c>
      <x:c r="Q446" s="1" t="n">
        <x:v>0</x:v>
      </x:c>
      <x:c r="R446" s="1" t="str">
        <x:v>Yes</x:v>
      </x:c>
      <x:c r="S446" s="7" t="n">
        <x:v>82.5</x:v>
      </x:c>
      <x:c r="T446" s="1" t="str">
        <x:v>Yes</x:v>
      </x:c>
      <x:c r="U446" s="1" t="str">
        <x:v>Completed</x:v>
      </x:c>
    </x:row>
    <x:row r="447">
      <x:c r="A447" s="1" t="str">
        <x:v>PUB-0446</x:v>
      </x:c>
      <x:c r="B447" s="5" t="n">
        <x:v>45699</x:v>
      </x:c>
      <x:c r="C447" s="5" t="n">
        <x:v>45707</x:v>
      </x:c>
      <x:c r="D447" s="5" t="n">
        <x:v>45701</x:v>
      </x:c>
      <x:c r="E447" s="1" t="str">
        <x:v>Editorial</x:v>
      </x:c>
      <x:c r="F447" s="1" t="str">
        <x:v>Assessment</x:v>
      </x:c>
      <x:c r="G447" s="1" t="str">
        <x:v>Medium</x:v>
      </x:c>
      <x:c r="H447" s="1" t="str">
        <x:v>AI-Assisted</x:v>
      </x:c>
      <x:c r="I447" s="1" t="str">
        <x:v>Few-shot v2</x:v>
      </x:c>
      <x:c r="J447" s="1" t="n">
        <x:v>43</x:v>
      </x:c>
      <x:c r="K447" s="6" t="n">
        <x:v>12.5</x:v>
      </x:c>
      <x:c r="L447" s="6" t="n">
        <x:v>23.4</x:v>
      </x:c>
      <x:c r="M447" s="6" t="n">
        <x:v>10.9</x:v>
      </x:c>
      <x:c r="N447" s="6" t="n">
        <x:v>10670.51</x:v>
      </x:c>
      <x:c r="O447" s="6" t="n">
        <x:v>20006.54</x:v>
      </x:c>
      <x:c r="P447" s="6" t="n">
        <x:v>9336.03</x:v>
      </x:c>
      <x:c r="Q447" s="1" t="n">
        <x:v>0</x:v>
      </x:c>
      <x:c r="R447" s="1" t="str">
        <x:v>Yes</x:v>
      </x:c>
      <x:c r="S447" s="7" t="n">
        <x:v>90.4</x:v>
      </x:c>
      <x:c r="T447" s="1" t="str">
        <x:v>Yes</x:v>
      </x:c>
      <x:c r="U447" s="1" t="str">
        <x:v>Completed</x:v>
      </x:c>
    </x:row>
    <x:row r="448">
      <x:c r="A448" s="1" t="str">
        <x:v>PUB-0447</x:v>
      </x:c>
      <x:c r="B448" s="5" t="n">
        <x:v>46145</x:v>
      </x:c>
      <x:c r="C448" s="5" t="n">
        <x:v>46157</x:v>
      </x:c>
      <x:c r="D448" s="5" t="n">
        <x:v>46152</x:v>
      </x:c>
      <x:c r="E448" s="1" t="str">
        <x:v>Digital Learning</x:v>
      </x:c>
      <x:c r="F448" s="1" t="str">
        <x:v>Workbook</x:v>
      </x:c>
      <x:c r="G448" s="1" t="str">
        <x:v>Low</x:v>
      </x:c>
      <x:c r="H448" s="1" t="str">
        <x:v>AI-Assisted</x:v>
      </x:c>
      <x:c r="I448" s="1" t="str">
        <x:v>Editorial QA</x:v>
      </x:c>
      <x:c r="J448" s="1" t="n">
        <x:v>180</x:v>
      </x:c>
      <x:c r="K448" s="6" t="n">
        <x:v>43</x:v>
      </x:c>
      <x:c r="L448" s="6" t="n">
        <x:v>67.4</x:v>
      </x:c>
      <x:c r="M448" s="6" t="n">
        <x:v>24.4</x:v>
      </x:c>
      <x:c r="N448" s="6" t="n">
        <x:v>29777.63</x:v>
      </x:c>
      <x:c r="O448" s="6" t="n">
        <x:v>46647.44</x:v>
      </x:c>
      <x:c r="P448" s="6" t="n">
        <x:v>16869.81</x:v>
      </x:c>
      <x:c r="Q448" s="1" t="n">
        <x:v>1</x:v>
      </x:c>
      <x:c r="R448" s="1" t="str">
        <x:v>No</x:v>
      </x:c>
      <x:c r="S448" s="7" t="n">
        <x:v>85.3</x:v>
      </x:c>
      <x:c r="T448" s="1" t="str">
        <x:v>Yes</x:v>
      </x:c>
      <x:c r="U448" s="1" t="str">
        <x:v>Completed</x:v>
      </x:c>
    </x:row>
    <x:row r="449">
      <x:c r="A449" s="1" t="str">
        <x:v>PUB-0448</x:v>
      </x:c>
      <x:c r="B449" s="5" t="n">
        <x:v>45861</x:v>
      </x:c>
      <x:c r="C449" s="5" t="n">
        <x:v>45869</x:v>
      </x:c>
      <x:c r="D449" s="5" t="n">
        <x:v>45862</x:v>
      </x:c>
      <x:c r="E449" s="1" t="str">
        <x:v>Design</x:v>
      </x:c>
      <x:c r="F449" s="1" t="str">
        <x:v>Assessment</x:v>
      </x:c>
      <x:c r="G449" s="1" t="str">
        <x:v>Low</x:v>
      </x:c>
      <x:c r="H449" s="1" t="str">
        <x:v>Manual</x:v>
      </x:c>
      <x:c r="I449" s="1" t="str">
        <x:v>Manual / NA</x:v>
      </x:c>
      <x:c r="J449" s="1" t="n">
        <x:v>19</x:v>
      </x:c>
      <x:c r="K449" s="6" t="n">
        <x:v>6.9</x:v>
      </x:c>
      <x:c r="L449" s="6" t="n">
        <x:v>7.1</x:v>
      </x:c>
      <x:c r="M449" s="6" t="n">
        <x:v>0.2</x:v>
      </x:c>
      <x:c r="N449" s="6" t="n">
        <x:v>7123.62</x:v>
      </x:c>
      <x:c r="O449" s="6" t="n">
        <x:v>7293.47</x:v>
      </x:c>
      <x:c r="P449" s="6" t="n">
        <x:v>169.85</x:v>
      </x:c>
      <x:c r="Q449" s="1" t="n">
        <x:v>0</x:v>
      </x:c>
      <x:c r="R449" s="1" t="str">
        <x:v>Yes</x:v>
      </x:c>
      <x:c r="S449" s="7" t="n">
        <x:v>83.6</x:v>
      </x:c>
      <x:c r="T449" s="1" t="str">
        <x:v>Yes</x:v>
      </x:c>
      <x:c r="U449" s="1" t="str">
        <x:v>Completed</x:v>
      </x:c>
    </x:row>
    <x:row r="450">
      <x:c r="A450" s="1" t="str">
        <x:v>PUB-0449</x:v>
      </x:c>
      <x:c r="B450" s="5" t="n">
        <x:v>46067</x:v>
      </x:c>
      <x:c r="C450" s="5" t="n">
        <x:v>46072</x:v>
      </x:c>
      <x:c r="D450" s="5" t="n">
        <x:v>46070</x:v>
      </x:c>
      <x:c r="E450" s="1" t="str">
        <x:v>Design</x:v>
      </x:c>
      <x:c r="F450" s="1" t="str">
        <x:v>Illustration</x:v>
      </x:c>
      <x:c r="G450" s="1" t="str">
        <x:v>Medium</x:v>
      </x:c>
      <x:c r="H450" s="1" t="str">
        <x:v>Manual</x:v>
      </x:c>
      <x:c r="I450" s="1" t="str">
        <x:v>Manual / NA</x:v>
      </x:c>
      <x:c r="J450" s="1" t="n">
        <x:v>66</x:v>
      </x:c>
      <x:c r="K450" s="6" t="n">
        <x:v>25.1</x:v>
      </x:c>
      <x:c r="L450" s="6" t="n">
        <x:v>25.9</x:v>
      </x:c>
      <x:c r="M450" s="6" t="n">
        <x:v>0.8</x:v>
      </x:c>
      <x:c r="N450" s="6" t="n">
        <x:v>17848.49</x:v>
      </x:c>
      <x:c r="O450" s="6" t="n">
        <x:v>18417.27</x:v>
      </x:c>
      <x:c r="P450" s="6" t="n">
        <x:v>568.78</x:v>
      </x:c>
      <x:c r="Q450" s="1" t="n">
        <x:v>0</x:v>
      </x:c>
      <x:c r="R450" s="1" t="str">
        <x:v>Yes</x:v>
      </x:c>
      <x:c r="S450" s="7" t="n">
        <x:v>86.6</x:v>
      </x:c>
      <x:c r="T450" s="1" t="str">
        <x:v>Yes</x:v>
      </x:c>
      <x:c r="U450" s="1" t="str">
        <x:v>Completed</x:v>
      </x:c>
    </x:row>
    <x:row r="451">
      <x:c r="A451" s="1" t="str">
        <x:v>PUB-0450</x:v>
      </x:c>
      <x:c r="B451" s="5" t="n">
        <x:v>45727</x:v>
      </x:c>
      <x:c r="C451" s="5" t="n">
        <x:v>45740</x:v>
      </x:c>
      <x:c r="D451" s="5" t="n">
        <x:v>45729</x:v>
      </x:c>
      <x:c r="E451" s="1" t="str">
        <x:v>Design</x:v>
      </x:c>
      <x:c r="F451" s="1" t="str">
        <x:v>School Textbook</x:v>
      </x:c>
      <x:c r="G451" s="1" t="str">
        <x:v>Low</x:v>
      </x:c>
      <x:c r="H451" s="1" t="str">
        <x:v>AI-Assisted</x:v>
      </x:c>
      <x:c r="I451" s="1" t="str">
        <x:v>Editorial QA</x:v>
      </x:c>
      <x:c r="J451" s="1" t="n">
        <x:v>91</x:v>
      </x:c>
      <x:c r="K451" s="6" t="n">
        <x:v>18.7</x:v>
      </x:c>
      <x:c r="L451" s="6" t="n">
        <x:v>37.1</x:v>
      </x:c>
      <x:c r="M451" s="6" t="n">
        <x:v>18.4</x:v>
      </x:c>
      <x:c r="N451" s="6" t="n">
        <x:v>12870.44</x:v>
      </x:c>
      <x:c r="O451" s="6" t="n">
        <x:v>25516.26</x:v>
      </x:c>
      <x:c r="P451" s="6" t="n">
        <x:v>12645.82</x:v>
      </x:c>
      <x:c r="Q451" s="1" t="n">
        <x:v>0</x:v>
      </x:c>
      <x:c r="R451" s="1" t="str">
        <x:v>Yes</x:v>
      </x:c>
      <x:c r="S451" s="7" t="n">
        <x:v>99</x:v>
      </x:c>
      <x:c r="T451" s="1" t="str">
        <x:v>Yes</x:v>
      </x:c>
      <x:c r="U451" s="1" t="str">
        <x:v>Completed</x:v>
      </x:c>
    </x:row>
    <x:row r="452">
      <x:c r="A452" s="1" t="str">
        <x:v>PUB-0451</x:v>
      </x:c>
      <x:c r="B452" s="5" t="n">
        <x:v>45864</x:v>
      </x:c>
      <x:c r="C452" s="5" t="n">
        <x:v>45871</x:v>
      </x:c>
      <x:c r="D452" s="5" t="n">
        <x:v>45865</x:v>
      </x:c>
      <x:c r="E452" s="1" t="str">
        <x:v>Editorial</x:v>
      </x:c>
      <x:c r="F452" s="1" t="str">
        <x:v>Assessment</x:v>
      </x:c>
      <x:c r="G452" s="1" t="str">
        <x:v>High</x:v>
      </x:c>
      <x:c r="H452" s="1" t="str">
        <x:v>AI-Assisted</x:v>
      </x:c>
      <x:c r="I452" s="1" t="str">
        <x:v>Few-shot v2</x:v>
      </x:c>
      <x:c r="J452" s="1" t="n">
        <x:v>6</x:v>
      </x:c>
      <x:c r="K452" s="6" t="n">
        <x:v>1.7</x:v>
      </x:c>
      <x:c r="L452" s="6" t="n">
        <x:v>2.9</x:v>
      </x:c>
      <x:c r="M452" s="6" t="n">
        <x:v>1.2</x:v>
      </x:c>
      <x:c r="N452" s="6" t="n">
        <x:v>1882.7</x:v>
      </x:c>
      <x:c r="O452" s="6" t="n">
        <x:v>3218.59</x:v>
      </x:c>
      <x:c r="P452" s="6" t="n">
        <x:v>1335.89</x:v>
      </x:c>
      <x:c r="Q452" s="1" t="n">
        <x:v>0</x:v>
      </x:c>
      <x:c r="R452" s="1" t="str">
        <x:v>Yes</x:v>
      </x:c>
      <x:c r="S452" s="7" t="n">
        <x:v>86.9</x:v>
      </x:c>
      <x:c r="T452" s="1" t="str">
        <x:v>Yes</x:v>
      </x:c>
      <x:c r="U452" s="1" t="str">
        <x:v>Completed</x:v>
      </x:c>
    </x:row>
    <x:row r="453">
      <x:c r="A453" s="1" t="str">
        <x:v>PUB-0452</x:v>
      </x:c>
      <x:c r="B453" s="5" t="n">
        <x:v>45968</x:v>
      </x:c>
      <x:c r="C453" s="5" t="n">
        <x:v>45979</x:v>
      </x:c>
      <x:c r="D453" s="5" t="n">
        <x:v>45972</x:v>
      </x:c>
      <x:c r="E453" s="1" t="str">
        <x:v>Digital Learning</x:v>
      </x:c>
      <x:c r="F453" s="1" t="str">
        <x:v>School Textbook</x:v>
      </x:c>
      <x:c r="G453" s="1" t="str">
        <x:v>Medium</x:v>
      </x:c>
      <x:c r="H453" s="1" t="str">
        <x:v>AI-Assisted</x:v>
      </x:c>
      <x:c r="I453" s="1" t="str">
        <x:v>Structured v3</x:v>
      </x:c>
      <x:c r="J453" s="1" t="n">
        <x:v>107</x:v>
      </x:c>
      <x:c r="K453" s="6" t="n">
        <x:v>26.4</x:v>
      </x:c>
      <x:c r="L453" s="6" t="n">
        <x:v>41.1</x:v>
      </x:c>
      <x:c r="M453" s="6" t="n">
        <x:v>14.7</x:v>
      </x:c>
      <x:c r="N453" s="6" t="n">
        <x:v>25873.04</x:v>
      </x:c>
      <x:c r="O453" s="6" t="n">
        <x:v>40274.57</x:v>
      </x:c>
      <x:c r="P453" s="6" t="n">
        <x:v>14401.53</x:v>
      </x:c>
      <x:c r="Q453" s="1" t="n">
        <x:v>0</x:v>
      </x:c>
      <x:c r="R453" s="1" t="str">
        <x:v>Yes</x:v>
      </x:c>
      <x:c r="S453" s="7" t="n">
        <x:v>93.9</x:v>
      </x:c>
      <x:c r="T453" s="1" t="str">
        <x:v>Yes</x:v>
      </x:c>
      <x:c r="U453" s="1" t="str">
        <x:v>Completed</x:v>
      </x:c>
    </x:row>
    <x:row r="454">
      <x:c r="A454" s="1" t="str">
        <x:v>PUB-0453</x:v>
      </x:c>
      <x:c r="B454" s="5" t="n">
        <x:v>45818</x:v>
      </x:c>
      <x:c r="C454" s="5" t="n">
        <x:v>45838</x:v>
      </x:c>
      <x:c r="D454" s="5" t="n">
        <x:v>45824</x:v>
      </x:c>
      <x:c r="E454" s="1" t="str">
        <x:v>Design</x:v>
      </x:c>
      <x:c r="F454" s="1" t="str">
        <x:v>Workbook</x:v>
      </x:c>
      <x:c r="G454" s="1" t="str">
        <x:v>Medium</x:v>
      </x:c>
      <x:c r="H454" s="1" t="str">
        <x:v>AI-Assisted</x:v>
      </x:c>
      <x:c r="I454" s="1" t="str">
        <x:v>Visual Brief</x:v>
      </x:c>
      <x:c r="J454" s="1" t="n">
        <x:v>165</x:v>
      </x:c>
      <x:c r="K454" s="6" t="n">
        <x:v>47.8</x:v>
      </x:c>
      <x:c r="L454" s="6" t="n">
        <x:v>87.2</x:v>
      </x:c>
      <x:c r="M454" s="6" t="n">
        <x:v>39.4</x:v>
      </x:c>
      <x:c r="N454" s="6" t="n">
        <x:v>32538.03</x:v>
      </x:c>
      <x:c r="O454" s="6" t="n">
        <x:v>59373.67</x:v>
      </x:c>
      <x:c r="P454" s="6" t="n">
        <x:v>26835.64</x:v>
      </x:c>
      <x:c r="Q454" s="1" t="n">
        <x:v>0</x:v>
      </x:c>
      <x:c r="R454" s="1" t="str">
        <x:v>Yes</x:v>
      </x:c>
      <x:c r="S454" s="7" t="n">
        <x:v>92.6</x:v>
      </x:c>
      <x:c r="T454" s="1" t="str">
        <x:v>Yes</x:v>
      </x:c>
      <x:c r="U454" s="1" t="str">
        <x:v>Completed</x:v>
      </x:c>
    </x:row>
    <x:row r="455">
      <x:c r="A455" s="1" t="str">
        <x:v>PUB-0454</x:v>
      </x:c>
      <x:c r="B455" s="5" t="n">
        <x:v>46007</x:v>
      </x:c>
      <x:c r="C455" s="5" t="n">
        <x:v>46022</x:v>
      </x:c>
      <x:c r="D455" s="5" t="n">
        <x:v>46014</x:v>
      </x:c>
      <x:c r="E455" s="1" t="str">
        <x:v>Design</x:v>
      </x:c>
      <x:c r="F455" s="1" t="str">
        <x:v>Workbook</x:v>
      </x:c>
      <x:c r="G455" s="1" t="str">
        <x:v>Medium</x:v>
      </x:c>
      <x:c r="H455" s="1" t="str">
        <x:v>Manual</x:v>
      </x:c>
      <x:c r="I455" s="1" t="str">
        <x:v>Manual / NA</x:v>
      </x:c>
      <x:c r="J455" s="1" t="n">
        <x:v>113</x:v>
      </x:c>
      <x:c r="K455" s="6" t="n">
        <x:v>53.1</x:v>
      </x:c>
      <x:c r="L455" s="6" t="n">
        <x:v>57.1</x:v>
      </x:c>
      <x:c r="M455" s="6" t="n">
        <x:v>4</x:v>
      </x:c>
      <x:c r="N455" s="6" t="n">
        <x:v>51721.6</x:v>
      </x:c>
      <x:c r="O455" s="6" t="n">
        <x:v>55635.71</x:v>
      </x:c>
      <x:c r="P455" s="6" t="n">
        <x:v>3914.11</x:v>
      </x:c>
      <x:c r="Q455" s="1" t="n">
        <x:v>0</x:v>
      </x:c>
      <x:c r="R455" s="1" t="str">
        <x:v>Yes</x:v>
      </x:c>
      <x:c r="S455" s="7" t="n">
        <x:v>88.8</x:v>
      </x:c>
      <x:c r="T455" s="1" t="str">
        <x:v>Yes</x:v>
      </x:c>
      <x:c r="U455" s="1" t="str">
        <x:v>Completed</x:v>
      </x:c>
    </x:row>
    <x:row r="456">
      <x:c r="A456" s="1" t="str">
        <x:v>PUB-0455</x:v>
      </x:c>
      <x:c r="B456" s="5" t="n">
        <x:v>45775</x:v>
      </x:c>
      <x:c r="C456" s="5" t="n">
        <x:v>45789</x:v>
      </x:c>
      <x:c r="D456" s="5" t="n">
        <x:v>45780</x:v>
      </x:c>
      <x:c r="E456" s="1" t="str">
        <x:v>Design</x:v>
      </x:c>
      <x:c r="F456" s="1" t="str">
        <x:v>School Textbook</x:v>
      </x:c>
      <x:c r="G456" s="1" t="str">
        <x:v>Medium</x:v>
      </x:c>
      <x:c r="H456" s="1" t="str">
        <x:v>AI-Assisted</x:v>
      </x:c>
      <x:c r="I456" s="1" t="str">
        <x:v>Few-shot v2</x:v>
      </x:c>
      <x:c r="J456" s="1" t="n">
        <x:v>116</x:v>
      </x:c>
      <x:c r="K456" s="6" t="n">
        <x:v>35.2</x:v>
      </x:c>
      <x:c r="L456" s="6" t="n">
        <x:v>64.8</x:v>
      </x:c>
      <x:c r="M456" s="6" t="n">
        <x:v>29.6</x:v>
      </x:c>
      <x:c r="N456" s="6" t="n">
        <x:v>35128.87</x:v>
      </x:c>
      <x:c r="O456" s="6" t="n">
        <x:v>64633.11</x:v>
      </x:c>
      <x:c r="P456" s="6" t="n">
        <x:v>29504.24</x:v>
      </x:c>
      <x:c r="Q456" s="1" t="n">
        <x:v>0</x:v>
      </x:c>
      <x:c r="R456" s="1" t="str">
        <x:v>Yes</x:v>
      </x:c>
      <x:c r="S456" s="7" t="n">
        <x:v>94.3</x:v>
      </x:c>
      <x:c r="T456" s="1" t="str">
        <x:v>Yes</x:v>
      </x:c>
      <x:c r="U456" s="1" t="str">
        <x:v>Completed</x:v>
      </x:c>
    </x:row>
    <x:row r="457">
      <x:c r="A457" s="1" t="str">
        <x:v>PUB-0456</x:v>
      </x:c>
      <x:c r="B457" s="5" t="n">
        <x:v>46158</x:v>
      </x:c>
      <x:c r="C457" s="5" t="n">
        <x:v>46168</x:v>
      </x:c>
      <x:c r="D457" s="5" t="n">
        <x:v>46160</x:v>
      </x:c>
      <x:c r="E457" s="1" t="str">
        <x:v>Editorial</x:v>
      </x:c>
      <x:c r="F457" s="1" t="str">
        <x:v>Illustration</x:v>
      </x:c>
      <x:c r="G457" s="1" t="str">
        <x:v>Low</x:v>
      </x:c>
      <x:c r="H457" s="1" t="str">
        <x:v>AI-Assisted</x:v>
      </x:c>
      <x:c r="I457" s="1" t="str">
        <x:v>Few-shot v2</x:v>
      </x:c>
      <x:c r="J457" s="1" t="n">
        <x:v>47</x:v>
      </x:c>
      <x:c r="K457" s="6" t="n">
        <x:v>11.7</x:v>
      </x:c>
      <x:c r="L457" s="6" t="n">
        <x:v>16.4</x:v>
      </x:c>
      <x:c r="M457" s="6" t="n">
        <x:v>4.7</x:v>
      </x:c>
      <x:c r="N457" s="6" t="n">
        <x:v>8785.29</x:v>
      </x:c>
      <x:c r="O457" s="6" t="n">
        <x:v>12324.92</x:v>
      </x:c>
      <x:c r="P457" s="6" t="n">
        <x:v>3539.63</x:v>
      </x:c>
      <x:c r="Q457" s="1" t="n">
        <x:v>0</x:v>
      </x:c>
      <x:c r="R457" s="1" t="str">
        <x:v>Yes</x:v>
      </x:c>
      <x:c r="S457" s="7" t="n">
        <x:v>88.5</x:v>
      </x:c>
      <x:c r="T457" s="1" t="str">
        <x:v>Yes</x:v>
      </x:c>
      <x:c r="U457" s="1" t="str">
        <x:v>Completed</x:v>
      </x:c>
    </x:row>
    <x:row r="458">
      <x:c r="A458" s="1" t="str">
        <x:v>PUB-0457</x:v>
      </x:c>
      <x:c r="B458" s="5" t="n">
        <x:v>45877</x:v>
      </x:c>
      <x:c r="C458" s="5" t="n">
        <x:v>45893</x:v>
      </x:c>
      <x:c r="D458" s="5" t="n">
        <x:v>45887</x:v>
      </x:c>
      <x:c r="E458" s="1" t="str">
        <x:v>Editorial</x:v>
      </x:c>
      <x:c r="F458" s="1" t="str">
        <x:v>School Textbook</x:v>
      </x:c>
      <x:c r="G458" s="1" t="str">
        <x:v>High</x:v>
      </x:c>
      <x:c r="H458" s="1" t="str">
        <x:v>Manual</x:v>
      </x:c>
      <x:c r="I458" s="1" t="str">
        <x:v>Manual / NA</x:v>
      </x:c>
      <x:c r="J458" s="1" t="n">
        <x:v>110</x:v>
      </x:c>
      <x:c r="K458" s="6" t="n">
        <x:v>77.4</x:v>
      </x:c>
      <x:c r="L458" s="6" t="n">
        <x:v>72.2</x:v>
      </x:c>
      <x:c r="M458" s="6" t="n">
        <x:v>0</x:v>
      </x:c>
      <x:c r="N458" s="6" t="n">
        <x:v>78085.25</x:v>
      </x:c>
      <x:c r="O458" s="6" t="n">
        <x:v>72862.76</x:v>
      </x:c>
      <x:c r="P458" s="6" t="n">
        <x:v>0</x:v>
      </x:c>
      <x:c r="Q458" s="1" t="n">
        <x:v>0</x:v>
      </x:c>
      <x:c r="R458" s="1" t="str">
        <x:v>Yes</x:v>
      </x:c>
      <x:c r="S458" s="7" t="n">
        <x:v>81.3</x:v>
      </x:c>
      <x:c r="T458" s="1" t="str">
        <x:v>Yes</x:v>
      </x:c>
      <x:c r="U458" s="1" t="str">
        <x:v>Completed</x:v>
      </x:c>
    </x:row>
    <x:row r="459">
      <x:c r="A459" s="1" t="str">
        <x:v>PUB-0458</x:v>
      </x:c>
      <x:c r="B459" s="5" t="n">
        <x:v>45872</x:v>
      </x:c>
      <x:c r="C459" s="5" t="n">
        <x:v>45889</x:v>
      </x:c>
      <x:c r="D459" s="5" t="n">
        <x:v>45883</x:v>
      </x:c>
      <x:c r="E459" s="1" t="str">
        <x:v>Design</x:v>
      </x:c>
      <x:c r="F459" s="1" t="str">
        <x:v>School Textbook</x:v>
      </x:c>
      <x:c r="G459" s="1" t="str">
        <x:v>High</x:v>
      </x:c>
      <x:c r="H459" s="1" t="str">
        <x:v>Manual</x:v>
      </x:c>
      <x:c r="I459" s="1" t="str">
        <x:v>Manual / NA</x:v>
      </x:c>
      <x:c r="J459" s="1" t="n">
        <x:v>137</x:v>
      </x:c>
      <x:c r="K459" s="6" t="n">
        <x:v>81.3</x:v>
      </x:c>
      <x:c r="L459" s="6" t="n">
        <x:v>82.3</x:v>
      </x:c>
      <x:c r="M459" s="6" t="n">
        <x:v>1</x:v>
      </x:c>
      <x:c r="N459" s="6" t="n">
        <x:v>60978.13</x:v>
      </x:c>
      <x:c r="O459" s="6" t="n">
        <x:v>61747.41</x:v>
      </x:c>
      <x:c r="P459" s="6" t="n">
        <x:v>769.28</x:v>
      </x:c>
      <x:c r="Q459" s="1" t="n">
        <x:v>0</x:v>
      </x:c>
      <x:c r="R459" s="1" t="str">
        <x:v>Yes</x:v>
      </x:c>
      <x:c r="S459" s="7" t="n">
        <x:v>82.6</x:v>
      </x:c>
      <x:c r="T459" s="1" t="str">
        <x:v>Yes</x:v>
      </x:c>
      <x:c r="U459" s="1" t="str">
        <x:v>Completed</x:v>
      </x:c>
    </x:row>
    <x:row r="460">
      <x:c r="A460" s="1" t="str">
        <x:v>PUB-0459</x:v>
      </x:c>
      <x:c r="B460" s="5" t="n">
        <x:v>45842</x:v>
      </x:c>
      <x:c r="C460" s="5" t="n">
        <x:v>45854</x:v>
      </x:c>
      <x:c r="D460" s="5" t="str"/>
      <x:c r="E460" s="1" t="str">
        <x:v>Digital Learning</x:v>
      </x:c>
      <x:c r="F460" s="1" t="str">
        <x:v>Assessment</x:v>
      </x:c>
      <x:c r="G460" s="1" t="str">
        <x:v>Low</x:v>
      </x:c>
      <x:c r="H460" s="1" t="str">
        <x:v>AI-Assisted</x:v>
      </x:c>
      <x:c r="I460" s="1" t="str">
        <x:v>Structured v3</x:v>
      </x:c>
      <x:c r="J460" s="1" t="n">
        <x:v>67</x:v>
      </x:c>
      <x:c r="K460" s="6" t="n">
        <x:v>20.7</x:v>
      </x:c>
      <x:c r="L460" s="6" t="n">
        <x:v>31.4</x:v>
      </x:c>
      <x:c r="M460" s="6" t="n">
        <x:v>10.7</x:v>
      </x:c>
      <x:c r="N460" s="6" t="n">
        <x:v>18291.51</x:v>
      </x:c>
      <x:c r="O460" s="6" t="n">
        <x:v>27753</x:v>
      </x:c>
      <x:c r="P460" s="6" t="n">
        <x:v>9461.49</x:v>
      </x:c>
      <x:c r="Q460" s="1" t="n">
        <x:v>0</x:v>
      </x:c>
      <x:c r="R460" s="1" t="str"/>
      <x:c r="S460" s="7" t="n">
        <x:v>81.6</x:v>
      </x:c>
      <x:c r="T460" s="1" t="str"/>
      <x:c r="U460" s="1" t="str">
        <x:v>In Review</x:v>
      </x:c>
    </x:row>
    <x:row r="461">
      <x:c r="A461" s="1" t="str">
        <x:v>PUB-0460</x:v>
      </x:c>
      <x:c r="B461" s="5" t="n">
        <x:v>45719</x:v>
      </x:c>
      <x:c r="C461" s="5" t="n">
        <x:v>45744</x:v>
      </x:c>
      <x:c r="D461" s="5" t="n">
        <x:v>45729</x:v>
      </x:c>
      <x:c r="E461" s="1" t="str">
        <x:v>Design</x:v>
      </x:c>
      <x:c r="F461" s="1" t="str">
        <x:v>Workbook</x:v>
      </x:c>
      <x:c r="G461" s="1" t="str">
        <x:v>High</x:v>
      </x:c>
      <x:c r="H461" s="1" t="str">
        <x:v>AI-Assisted</x:v>
      </x:c>
      <x:c r="I461" s="1" t="str">
        <x:v>Structured v3</x:v>
      </x:c>
      <x:c r="J461" s="1" t="n">
        <x:v>183</x:v>
      </x:c>
      <x:c r="K461" s="6" t="n">
        <x:v>76.3</x:v>
      </x:c>
      <x:c r="L461" s="6" t="n">
        <x:v>131.8</x:v>
      </x:c>
      <x:c r="M461" s="6" t="n">
        <x:v>55.5</x:v>
      </x:c>
      <x:c r="N461" s="6" t="n">
        <x:v>82411.09</x:v>
      </x:c>
      <x:c r="O461" s="6" t="n">
        <x:v>142378.88</x:v>
      </x:c>
      <x:c r="P461" s="6" t="n">
        <x:v>59967.79</x:v>
      </x:c>
      <x:c r="Q461" s="1" t="n">
        <x:v>0</x:v>
      </x:c>
      <x:c r="R461" s="1" t="str">
        <x:v>Yes</x:v>
      </x:c>
      <x:c r="S461" s="7" t="n">
        <x:v>87.4</x:v>
      </x:c>
      <x:c r="T461" s="1" t="str">
        <x:v>Yes</x:v>
      </x:c>
      <x:c r="U461" s="1" t="str">
        <x:v>Completed</x:v>
      </x:c>
    </x:row>
    <x:row r="462">
      <x:c r="A462" s="1" t="str">
        <x:v>PUB-0461</x:v>
      </x:c>
      <x:c r="B462" s="5" t="n">
        <x:v>45931</x:v>
      </x:c>
      <x:c r="C462" s="5" t="n">
        <x:v>45938</x:v>
      </x:c>
      <x:c r="D462" s="5" t="str"/>
      <x:c r="E462" s="1" t="str">
        <x:v>Digital Learning</x:v>
      </x:c>
      <x:c r="F462" s="1" t="str">
        <x:v>Assessment</x:v>
      </x:c>
      <x:c r="G462" s="1" t="str">
        <x:v>Low</x:v>
      </x:c>
      <x:c r="H462" s="1" t="str">
        <x:v>AI-Assisted</x:v>
      </x:c>
      <x:c r="I462" s="1" t="str">
        <x:v>Editorial QA</x:v>
      </x:c>
      <x:c r="J462" s="1" t="n">
        <x:v>55</x:v>
      </x:c>
      <x:c r="K462" s="6" t="n">
        <x:v>8.6</x:v>
      </x:c>
      <x:c r="L462" s="6" t="n">
        <x:v>17.7</x:v>
      </x:c>
      <x:c r="M462" s="6" t="n">
        <x:v>9.1</x:v>
      </x:c>
      <x:c r="N462" s="6" t="n">
        <x:v>9017.29</x:v>
      </x:c>
      <x:c r="O462" s="6" t="n">
        <x:v>18583.93</x:v>
      </x:c>
      <x:c r="P462" s="6" t="n">
        <x:v>9566.64</x:v>
      </x:c>
      <x:c r="Q462" s="1" t="n">
        <x:v>0</x:v>
      </x:c>
      <x:c r="R462" s="1" t="str"/>
      <x:c r="S462" s="7" t="n">
        <x:v>72.1</x:v>
      </x:c>
      <x:c r="T462" s="1" t="str"/>
      <x:c r="U462" s="1" t="str">
        <x:v>In Review</x:v>
      </x:c>
    </x:row>
    <x:row r="463">
      <x:c r="A463" s="1" t="str">
        <x:v>PUB-0462</x:v>
      </x:c>
      <x:c r="B463" s="5" t="n">
        <x:v>45864</x:v>
      </x:c>
      <x:c r="C463" s="5" t="n">
        <x:v>45878</x:v>
      </x:c>
      <x:c r="D463" s="5" t="n">
        <x:v>45870</x:v>
      </x:c>
      <x:c r="E463" s="1" t="str">
        <x:v>Editorial</x:v>
      </x:c>
      <x:c r="F463" s="1" t="str">
        <x:v>School Textbook</x:v>
      </x:c>
      <x:c r="G463" s="1" t="str">
        <x:v>Medium</x:v>
      </x:c>
      <x:c r="H463" s="1" t="str">
        <x:v>AI-Assisted</x:v>
      </x:c>
      <x:c r="I463" s="1" t="str">
        <x:v>Editorial QA</x:v>
      </x:c>
      <x:c r="J463" s="1" t="n">
        <x:v>176</x:v>
      </x:c>
      <x:c r="K463" s="6" t="n">
        <x:v>43.3</x:v>
      </x:c>
      <x:c r="L463" s="6" t="n">
        <x:v>88.3</x:v>
      </x:c>
      <x:c r="M463" s="6" t="n">
        <x:v>45</x:v>
      </x:c>
      <x:c r="N463" s="6" t="n">
        <x:v>43786.56</x:v>
      </x:c>
      <x:c r="O463" s="6" t="n">
        <x:v>89299.36</x:v>
      </x:c>
      <x:c r="P463" s="6" t="n">
        <x:v>45512.8</x:v>
      </x:c>
      <x:c r="Q463" s="1" t="n">
        <x:v>0</x:v>
      </x:c>
      <x:c r="R463" s="1" t="str">
        <x:v>Yes</x:v>
      </x:c>
      <x:c r="S463" s="7" t="n">
        <x:v>90.6</x:v>
      </x:c>
      <x:c r="T463" s="1" t="str">
        <x:v>Yes</x:v>
      </x:c>
      <x:c r="U463" s="1" t="str">
        <x:v>Completed</x:v>
      </x:c>
    </x:row>
    <x:row r="464">
      <x:c r="A464" s="1" t="str">
        <x:v>PUB-0463</x:v>
      </x:c>
      <x:c r="B464" s="5" t="n">
        <x:v>45963</x:v>
      </x:c>
      <x:c r="C464" s="5" t="n">
        <x:v>45984</x:v>
      </x:c>
      <x:c r="D464" s="5" t="str"/>
      <x:c r="E464" s="1" t="str">
        <x:v>Digital Learning</x:v>
      </x:c>
      <x:c r="F464" s="1" t="str">
        <x:v>E-book</x:v>
      </x:c>
      <x:c r="G464" s="1" t="str">
        <x:v>High</x:v>
      </x:c>
      <x:c r="H464" s="1" t="str">
        <x:v>AI-Assisted</x:v>
      </x:c>
      <x:c r="I464" s="1" t="str">
        <x:v>Few-shot v2</x:v>
      </x:c>
      <x:c r="J464" s="1" t="n">
        <x:v>176</x:v>
      </x:c>
      <x:c r="K464" s="6" t="n">
        <x:v>70.8</x:v>
      </x:c>
      <x:c r="L464" s="6" t="n">
        <x:v>103.9</x:v>
      </x:c>
      <x:c r="M464" s="6" t="n">
        <x:v>33.1</x:v>
      </x:c>
      <x:c r="N464" s="6" t="n">
        <x:v>75853.36</x:v>
      </x:c>
      <x:c r="O464" s="6" t="n">
        <x:v>111338.02</x:v>
      </x:c>
      <x:c r="P464" s="6" t="n">
        <x:v>35484.66</x:v>
      </x:c>
      <x:c r="Q464" s="1" t="n">
        <x:v>1</x:v>
      </x:c>
      <x:c r="R464" s="1" t="str"/>
      <x:c r="S464" s="7" t="n">
        <x:v>84.6</x:v>
      </x:c>
      <x:c r="T464" s="1" t="str"/>
      <x:c r="U464" s="1" t="str">
        <x:v>In Review</x:v>
      </x:c>
    </x:row>
    <x:row r="465">
      <x:c r="A465" s="1" t="str">
        <x:v>PUB-0464</x:v>
      </x:c>
      <x:c r="B465" s="5" t="n">
        <x:v>46195</x:v>
      </x:c>
      <x:c r="C465" s="5" t="n">
        <x:v>46215</x:v>
      </x:c>
      <x:c r="D465" s="5" t="n">
        <x:v>46205</x:v>
      </x:c>
      <x:c r="E465" s="1" t="str">
        <x:v>Editorial</x:v>
      </x:c>
      <x:c r="F465" s="1" t="str">
        <x:v>E-book</x:v>
      </x:c>
      <x:c r="G465" s="1" t="str">
        <x:v>Medium</x:v>
      </x:c>
      <x:c r="H465" s="1" t="str">
        <x:v>AI-Assisted</x:v>
      </x:c>
      <x:c r="I465" s="1" t="str">
        <x:v>Structured v3</x:v>
      </x:c>
      <x:c r="J465" s="1" t="n">
        <x:v>214</x:v>
      </x:c>
      <x:c r="K465" s="6" t="n">
        <x:v>76.4</x:v>
      </x:c>
      <x:c r="L465" s="6" t="n">
        <x:v>116.2</x:v>
      </x:c>
      <x:c r="M465" s="6" t="n">
        <x:v>39.8</x:v>
      </x:c>
      <x:c r="N465" s="6" t="n">
        <x:v>80443.15</x:v>
      </x:c>
      <x:c r="O465" s="6" t="n">
        <x:v>122377.08</x:v>
      </x:c>
      <x:c r="P465" s="6" t="n">
        <x:v>41933.93</x:v>
      </x:c>
      <x:c r="Q465" s="1" t="n">
        <x:v>0</x:v>
      </x:c>
      <x:c r="R465" s="1" t="str">
        <x:v>Yes</x:v>
      </x:c>
      <x:c r="S465" s="7" t="n">
        <x:v>89</x:v>
      </x:c>
      <x:c r="T465" s="1" t="str">
        <x:v>Yes</x:v>
      </x:c>
      <x:c r="U465" s="1" t="str">
        <x:v>Completed</x:v>
      </x:c>
    </x:row>
    <x:row r="466">
      <x:c r="A466" s="1" t="str">
        <x:v>PUB-0465</x:v>
      </x:c>
      <x:c r="B466" s="5" t="n">
        <x:v>45837</x:v>
      </x:c>
      <x:c r="C466" s="5" t="n">
        <x:v>45847</x:v>
      </x:c>
      <x:c r="D466" s="5" t="n">
        <x:v>45838</x:v>
      </x:c>
      <x:c r="E466" s="1" t="str">
        <x:v>Editorial</x:v>
      </x:c>
      <x:c r="F466" s="1" t="str">
        <x:v>Workbook</x:v>
      </x:c>
      <x:c r="G466" s="1" t="str">
        <x:v>Medium</x:v>
      </x:c>
      <x:c r="H466" s="1" t="str">
        <x:v>AI-Assisted</x:v>
      </x:c>
      <x:c r="I466" s="1" t="str">
        <x:v>Visual Brief</x:v>
      </x:c>
      <x:c r="J466" s="1" t="n">
        <x:v>22</x:v>
      </x:c>
      <x:c r="K466" s="6" t="n">
        <x:v>6.9</x:v>
      </x:c>
      <x:c r="L466" s="6" t="n">
        <x:v>9.7</x:v>
      </x:c>
      <x:c r="M466" s="6" t="n">
        <x:v>2.8</x:v>
      </x:c>
      <x:c r="N466" s="6" t="n">
        <x:v>5576.89</x:v>
      </x:c>
      <x:c r="O466" s="6" t="n">
        <x:v>7867.11</x:v>
      </x:c>
      <x:c r="P466" s="6" t="n">
        <x:v>2290.22</x:v>
      </x:c>
      <x:c r="Q466" s="1" t="n">
        <x:v>0</x:v>
      </x:c>
      <x:c r="R466" s="1" t="str">
        <x:v>Yes</x:v>
      </x:c>
      <x:c r="S466" s="7" t="n">
        <x:v>83.2</x:v>
      </x:c>
      <x:c r="T466" s="1" t="str">
        <x:v>Yes</x:v>
      </x:c>
      <x:c r="U466" s="1" t="str">
        <x:v>Completed</x:v>
      </x:c>
    </x:row>
    <x:row r="467">
      <x:c r="A467" s="1" t="str">
        <x:v>PUB-0466</x:v>
      </x:c>
      <x:c r="B467" s="5" t="n">
        <x:v>46034</x:v>
      </x:c>
      <x:c r="C467" s="5" t="n">
        <x:v>46050</x:v>
      </x:c>
      <x:c r="D467" s="5" t="n">
        <x:v>46044</x:v>
      </x:c>
      <x:c r="E467" s="1" t="str">
        <x:v>Digital Learning</x:v>
      </x:c>
      <x:c r="F467" s="1" t="str">
        <x:v>School Textbook</x:v>
      </x:c>
      <x:c r="G467" s="1" t="str">
        <x:v>Low</x:v>
      </x:c>
      <x:c r="H467" s="1" t="str">
        <x:v>Manual</x:v>
      </x:c>
      <x:c r="I467" s="1" t="str">
        <x:v>Manual / NA</x:v>
      </x:c>
      <x:c r="J467" s="1" t="n">
        <x:v>163</x:v>
      </x:c>
      <x:c r="K467" s="6" t="n">
        <x:v>72.6</x:v>
      </x:c>
      <x:c r="L467" s="6" t="n">
        <x:v>69.9</x:v>
      </x:c>
      <x:c r="M467" s="6" t="n">
        <x:v>0</x:v>
      </x:c>
      <x:c r="N467" s="6" t="n">
        <x:v>49174.61</x:v>
      </x:c>
      <x:c r="O467" s="6" t="n">
        <x:v>47319.56</x:v>
      </x:c>
      <x:c r="P467" s="6" t="n">
        <x:v>0</x:v>
      </x:c>
      <x:c r="Q467" s="1" t="n">
        <x:v>0</x:v>
      </x:c>
      <x:c r="R467" s="1" t="str">
        <x:v>Yes</x:v>
      </x:c>
      <x:c r="S467" s="7" t="n">
        <x:v>72.1</x:v>
      </x:c>
      <x:c r="T467" s="1" t="str">
        <x:v>Yes</x:v>
      </x:c>
      <x:c r="U467" s="1" t="str">
        <x:v>Completed</x:v>
      </x:c>
    </x:row>
    <x:row r="468">
      <x:c r="A468" s="1" t="str">
        <x:v>PUB-0467</x:v>
      </x:c>
      <x:c r="B468" s="5" t="n">
        <x:v>46051</x:v>
      </x:c>
      <x:c r="C468" s="5" t="n">
        <x:v>46057</x:v>
      </x:c>
      <x:c r="D468" s="5" t="str"/>
      <x:c r="E468" s="1" t="str">
        <x:v>Editorial</x:v>
      </x:c>
      <x:c r="F468" s="1" t="str">
        <x:v>E-book</x:v>
      </x:c>
      <x:c r="G468" s="1" t="str">
        <x:v>Medium</x:v>
      </x:c>
      <x:c r="H468" s="1" t="str">
        <x:v>AI-Assisted</x:v>
      </x:c>
      <x:c r="I468" s="1" t="str">
        <x:v>Visual Brief</x:v>
      </x:c>
      <x:c r="J468" s="1" t="n">
        <x:v>39</x:v>
      </x:c>
      <x:c r="K468" s="6" t="n">
        <x:v>9.4</x:v>
      </x:c>
      <x:c r="L468" s="6" t="n">
        <x:v>16.1</x:v>
      </x:c>
      <x:c r="M468" s="6" t="n">
        <x:v>6.7</x:v>
      </x:c>
      <x:c r="N468" s="6" t="n">
        <x:v>6146.97</x:v>
      </x:c>
      <x:c r="O468" s="6" t="n">
        <x:v>10507.5</x:v>
      </x:c>
      <x:c r="P468" s="6" t="n">
        <x:v>4360.53</x:v>
      </x:c>
      <x:c r="Q468" s="1" t="n">
        <x:v>0</x:v>
      </x:c>
      <x:c r="R468" s="1" t="str"/>
      <x:c r="S468" s="7" t="n">
        <x:v>99</x:v>
      </x:c>
      <x:c r="T468" s="1" t="str"/>
      <x:c r="U468" s="1" t="str">
        <x:v>In Review</x:v>
      </x:c>
    </x:row>
    <x:row r="469">
      <x:c r="A469" s="1" t="str">
        <x:v>PUB-0468</x:v>
      </x:c>
      <x:c r="B469" s="5" t="n">
        <x:v>45899</x:v>
      </x:c>
      <x:c r="C469" s="5" t="n">
        <x:v>45915</x:v>
      </x:c>
      <x:c r="D469" s="5" t="n">
        <x:v>45904</x:v>
      </x:c>
      <x:c r="E469" s="1" t="str">
        <x:v>Editorial</x:v>
      </x:c>
      <x:c r="F469" s="1" t="str">
        <x:v>E-book</x:v>
      </x:c>
      <x:c r="G469" s="1" t="str">
        <x:v>High</x:v>
      </x:c>
      <x:c r="H469" s="1" t="str">
        <x:v>AI-Assisted</x:v>
      </x:c>
      <x:c r="I469" s="1" t="str">
        <x:v>Few-shot v2</x:v>
      </x:c>
      <x:c r="J469" s="1" t="n">
        <x:v>89</x:v>
      </x:c>
      <x:c r="K469" s="6" t="n">
        <x:v>35.9</x:v>
      </x:c>
      <x:c r="L469" s="6" t="n">
        <x:v>62.1</x:v>
      </x:c>
      <x:c r="M469" s="6" t="n">
        <x:v>26.2</x:v>
      </x:c>
      <x:c r="N469" s="6" t="n">
        <x:v>23943.18</x:v>
      </x:c>
      <x:c r="O469" s="6" t="n">
        <x:v>41423.48</x:v>
      </x:c>
      <x:c r="P469" s="6" t="n">
        <x:v>17480.3</x:v>
      </x:c>
      <x:c r="Q469" s="1" t="n">
        <x:v>0</x:v>
      </x:c>
      <x:c r="R469" s="1" t="str">
        <x:v>Yes</x:v>
      </x:c>
      <x:c r="S469" s="7" t="n">
        <x:v>83.6</x:v>
      </x:c>
      <x:c r="T469" s="1" t="str">
        <x:v>Yes</x:v>
      </x:c>
      <x:c r="U469" s="1" t="str">
        <x:v>Completed</x:v>
      </x:c>
    </x:row>
    <x:row r="470">
      <x:c r="A470" s="1" t="str">
        <x:v>PUB-0469</x:v>
      </x:c>
      <x:c r="B470" s="5" t="n">
        <x:v>46080</x:v>
      </x:c>
      <x:c r="C470" s="5" t="n">
        <x:v>46088</x:v>
      </x:c>
      <x:c r="D470" s="5" t="n">
        <x:v>46082</x:v>
      </x:c>
      <x:c r="E470" s="1" t="str">
        <x:v>Digital Learning</x:v>
      </x:c>
      <x:c r="F470" s="1" t="str">
        <x:v>Workbook</x:v>
      </x:c>
      <x:c r="G470" s="1" t="str">
        <x:v>High</x:v>
      </x:c>
      <x:c r="H470" s="1" t="str">
        <x:v>AI-Assisted</x:v>
      </x:c>
      <x:c r="I470" s="1" t="str">
        <x:v>Visual Brief</x:v>
      </x:c>
      <x:c r="J470" s="1" t="n">
        <x:v>33</x:v>
      </x:c>
      <x:c r="K470" s="6" t="n">
        <x:v>13.5</x:v>
      </x:c>
      <x:c r="L470" s="6" t="n">
        <x:v>22.4</x:v>
      </x:c>
      <x:c r="M470" s="6" t="n">
        <x:v>8.9</x:v>
      </x:c>
      <x:c r="N470" s="6" t="n">
        <x:v>11150.03</x:v>
      </x:c>
      <x:c r="O470" s="6" t="n">
        <x:v>18480.39</x:v>
      </x:c>
      <x:c r="P470" s="6" t="n">
        <x:v>7330.36</x:v>
      </x:c>
      <x:c r="Q470" s="1" t="n">
        <x:v>0</x:v>
      </x:c>
      <x:c r="R470" s="1" t="str">
        <x:v>Yes</x:v>
      </x:c>
      <x:c r="S470" s="7" t="n">
        <x:v>92.5</x:v>
      </x:c>
      <x:c r="T470" s="1" t="str">
        <x:v>Yes</x:v>
      </x:c>
      <x:c r="U470" s="1" t="str">
        <x:v>Completed</x:v>
      </x:c>
    </x:row>
    <x:row r="471">
      <x:c r="A471" s="1" t="str">
        <x:v>PUB-0470</x:v>
      </x:c>
      <x:c r="B471" s="5" t="n">
        <x:v>45711</x:v>
      </x:c>
      <x:c r="C471" s="5" t="n">
        <x:v>45721</x:v>
      </x:c>
      <x:c r="D471" s="5" t="n">
        <x:v>45714</x:v>
      </x:c>
      <x:c r="E471" s="1" t="str">
        <x:v>Production</x:v>
      </x:c>
      <x:c r="F471" s="1" t="str">
        <x:v>School Textbook</x:v>
      </x:c>
      <x:c r="G471" s="1" t="str">
        <x:v>Medium</x:v>
      </x:c>
      <x:c r="H471" s="1" t="str">
        <x:v>AI-Assisted</x:v>
      </x:c>
      <x:c r="I471" s="1" t="str">
        <x:v>Editorial QA</x:v>
      </x:c>
      <x:c r="J471" s="1" t="n">
        <x:v>8</x:v>
      </x:c>
      <x:c r="K471" s="6" t="n">
        <x:v>2.2</x:v>
      </x:c>
      <x:c r="L471" s="6" t="n">
        <x:v>4</x:v>
      </x:c>
      <x:c r="M471" s="6" t="n">
        <x:v>1.8</x:v>
      </x:c>
      <x:c r="N471" s="6" t="n">
        <x:v>1520.46</x:v>
      </x:c>
      <x:c r="O471" s="6" t="n">
        <x:v>2754.65</x:v>
      </x:c>
      <x:c r="P471" s="6" t="n">
        <x:v>1234.19</x:v>
      </x:c>
      <x:c r="Q471" s="1" t="n">
        <x:v>1</x:v>
      </x:c>
      <x:c r="R471" s="1" t="str">
        <x:v>No</x:v>
      </x:c>
      <x:c r="S471" s="7" t="n">
        <x:v>79.1</x:v>
      </x:c>
      <x:c r="T471" s="1" t="str">
        <x:v>Yes</x:v>
      </x:c>
      <x:c r="U471" s="1" t="str">
        <x:v>Completed</x:v>
      </x:c>
    </x:row>
    <x:row r="472">
      <x:c r="A472" s="1" t="str">
        <x:v>PUB-0471</x:v>
      </x:c>
      <x:c r="B472" s="5" t="n">
        <x:v>46078</x:v>
      </x:c>
      <x:c r="C472" s="5" t="n">
        <x:v>46090</x:v>
      </x:c>
      <x:c r="D472" s="5" t="n">
        <x:v>46083</x:v>
      </x:c>
      <x:c r="E472" s="1" t="str">
        <x:v>Digital Learning</x:v>
      </x:c>
      <x:c r="F472" s="1" t="str">
        <x:v>Workbook</x:v>
      </x:c>
      <x:c r="G472" s="1" t="str">
        <x:v>Low</x:v>
      </x:c>
      <x:c r="H472" s="1" t="str">
        <x:v>AI-Assisted</x:v>
      </x:c>
      <x:c r="I472" s="1" t="str">
        <x:v>Editorial QA</x:v>
      </x:c>
      <x:c r="J472" s="1" t="n">
        <x:v>74</x:v>
      </x:c>
      <x:c r="K472" s="6" t="n">
        <x:v>16.6</x:v>
      </x:c>
      <x:c r="L472" s="6" t="n">
        <x:v>29.8</x:v>
      </x:c>
      <x:c r="M472" s="6" t="n">
        <x:v>13.2</x:v>
      </x:c>
      <x:c r="N472" s="6" t="n">
        <x:v>13128.92</x:v>
      </x:c>
      <x:c r="O472" s="6" t="n">
        <x:v>23538.24</x:v>
      </x:c>
      <x:c r="P472" s="6" t="n">
        <x:v>10409.32</x:v>
      </x:c>
      <x:c r="Q472" s="1" t="n">
        <x:v>1</x:v>
      </x:c>
      <x:c r="R472" s="1" t="str">
        <x:v>No</x:v>
      </x:c>
      <x:c r="S472" s="7" t="n">
        <x:v>83.2</x:v>
      </x:c>
      <x:c r="T472" s="1" t="str">
        <x:v>Yes</x:v>
      </x:c>
      <x:c r="U472" s="1" t="str">
        <x:v>Completed</x:v>
      </x:c>
    </x:row>
    <x:row r="473">
      <x:c r="A473" s="1" t="str">
        <x:v>PUB-0472</x:v>
      </x:c>
      <x:c r="B473" s="5" t="n">
        <x:v>45681</x:v>
      </x:c>
      <x:c r="C473" s="5" t="n">
        <x:v>45689</x:v>
      </x:c>
      <x:c r="D473" s="5" t="n">
        <x:v>45683</x:v>
      </x:c>
      <x:c r="E473" s="1" t="str">
        <x:v>Digital Learning</x:v>
      </x:c>
      <x:c r="F473" s="1" t="str">
        <x:v>Assessment</x:v>
      </x:c>
      <x:c r="G473" s="1" t="str">
        <x:v>Low</x:v>
      </x:c>
      <x:c r="H473" s="1" t="str">
        <x:v>AI-Assisted</x:v>
      </x:c>
      <x:c r="I473" s="1" t="str">
        <x:v>Visual Brief</x:v>
      </x:c>
      <x:c r="J473" s="1" t="n">
        <x:v>63</x:v>
      </x:c>
      <x:c r="K473" s="6" t="n">
        <x:v>13.8</x:v>
      </x:c>
      <x:c r="L473" s="6" t="n">
        <x:v>26.6</x:v>
      </x:c>
      <x:c r="M473" s="6" t="n">
        <x:v>12.8</x:v>
      </x:c>
      <x:c r="N473" s="6" t="n">
        <x:v>11737.14</x:v>
      </x:c>
      <x:c r="O473" s="6" t="n">
        <x:v>22596.18</x:v>
      </x:c>
      <x:c r="P473" s="6" t="n">
        <x:v>10859.04</x:v>
      </x:c>
      <x:c r="Q473" s="1" t="n">
        <x:v>0</x:v>
      </x:c>
      <x:c r="R473" s="1" t="str">
        <x:v>Yes</x:v>
      </x:c>
      <x:c r="S473" s="7" t="n">
        <x:v>92.3</x:v>
      </x:c>
      <x:c r="T473" s="1" t="str">
        <x:v>Yes</x:v>
      </x:c>
      <x:c r="U473" s="1" t="str">
        <x:v>Completed</x:v>
      </x:c>
    </x:row>
    <x:row r="474">
      <x:c r="A474" s="1" t="str">
        <x:v>PUB-0473</x:v>
      </x:c>
      <x:c r="B474" s="5" t="n">
        <x:v>46034</x:v>
      </x:c>
      <x:c r="C474" s="5" t="n">
        <x:v>46046</x:v>
      </x:c>
      <x:c r="D474" s="5" t="n">
        <x:v>46037</x:v>
      </x:c>
      <x:c r="E474" s="1" t="str">
        <x:v>Editorial</x:v>
      </x:c>
      <x:c r="F474" s="1" t="str">
        <x:v>Assessment</x:v>
      </x:c>
      <x:c r="G474" s="1" t="str">
        <x:v>High</x:v>
      </x:c>
      <x:c r="H474" s="1" t="str">
        <x:v>AI-Assisted</x:v>
      </x:c>
      <x:c r="I474" s="1" t="str">
        <x:v>Few-shot v2</x:v>
      </x:c>
      <x:c r="J474" s="1" t="n">
        <x:v>62</x:v>
      </x:c>
      <x:c r="K474" s="6" t="n">
        <x:v>20.5</x:v>
      </x:c>
      <x:c r="L474" s="6" t="n">
        <x:v>38.4</x:v>
      </x:c>
      <x:c r="M474" s="6" t="n">
        <x:v>17.9</x:v>
      </x:c>
      <x:c r="N474" s="6" t="n">
        <x:v>15407.24</x:v>
      </x:c>
      <x:c r="O474" s="6" t="n">
        <x:v>28829.92</x:v>
      </x:c>
      <x:c r="P474" s="6" t="n">
        <x:v>13422.68</x:v>
      </x:c>
      <x:c r="Q474" s="1" t="n">
        <x:v>0</x:v>
      </x:c>
      <x:c r="R474" s="1" t="str">
        <x:v>Yes</x:v>
      </x:c>
      <x:c r="S474" s="7" t="n">
        <x:v>90.7</x:v>
      </x:c>
      <x:c r="T474" s="1" t="str">
        <x:v>Yes</x:v>
      </x:c>
      <x:c r="U474" s="1" t="str">
        <x:v>Completed</x:v>
      </x:c>
    </x:row>
    <x:row r="475">
      <x:c r="A475" s="1" t="str">
        <x:v>PUB-0474</x:v>
      </x:c>
      <x:c r="B475" s="5" t="n">
        <x:v>46099</x:v>
      </x:c>
      <x:c r="C475" s="5" t="n">
        <x:v>46104</x:v>
      </x:c>
      <x:c r="D475" s="5" t="n">
        <x:v>46110</x:v>
      </x:c>
      <x:c r="E475" s="1" t="str">
        <x:v>Digital Learning</x:v>
      </x:c>
      <x:c r="F475" s="1" t="str">
        <x:v>Assessment</x:v>
      </x:c>
      <x:c r="G475" s="1" t="str">
        <x:v>Medium</x:v>
      </x:c>
      <x:c r="H475" s="1" t="str">
        <x:v>Manual</x:v>
      </x:c>
      <x:c r="I475" s="1" t="str">
        <x:v>Manual / NA</x:v>
      </x:c>
      <x:c r="J475" s="1" t="n">
        <x:v>40</x:v>
      </x:c>
      <x:c r="K475" s="6" t="n">
        <x:v>14.7</x:v>
      </x:c>
      <x:c r="L475" s="6" t="n">
        <x:v>16.1</x:v>
      </x:c>
      <x:c r="M475" s="6" t="n">
        <x:v>1.4</x:v>
      </x:c>
      <x:c r="N475" s="6" t="n">
        <x:v>15379.61</x:v>
      </x:c>
      <x:c r="O475" s="6" t="n">
        <x:v>16809.17</x:v>
      </x:c>
      <x:c r="P475" s="6" t="n">
        <x:v>1429.56</x:v>
      </x:c>
      <x:c r="Q475" s="1" t="n">
        <x:v>3</x:v>
      </x:c>
      <x:c r="R475" s="1" t="str">
        <x:v>No</x:v>
      </x:c>
      <x:c r="S475" s="7" t="n">
        <x:v>76.2</x:v>
      </x:c>
      <x:c r="T475" s="1" t="str">
        <x:v>No</x:v>
      </x:c>
      <x:c r="U475" s="1" t="str">
        <x:v>Completed</x:v>
      </x:c>
    </x:row>
    <x:row r="476">
      <x:c r="A476" s="1" t="str">
        <x:v>PUB-0475</x:v>
      </x:c>
      <x:c r="B476" s="5" t="n">
        <x:v>45912</x:v>
      </x:c>
      <x:c r="C476" s="5" t="n">
        <x:v>45916</x:v>
      </x:c>
      <x:c r="D476" s="5" t="n">
        <x:v>45913</x:v>
      </x:c>
      <x:c r="E476" s="1" t="str">
        <x:v>Design</x:v>
      </x:c>
      <x:c r="F476" s="1" t="str">
        <x:v>Illustration</x:v>
      </x:c>
      <x:c r="G476" s="1" t="str">
        <x:v>High</x:v>
      </x:c>
      <x:c r="H476" s="1" t="str">
        <x:v>AI-Assisted</x:v>
      </x:c>
      <x:c r="I476" s="1" t="str">
        <x:v>Structured v3</x:v>
      </x:c>
      <x:c r="J476" s="1" t="n">
        <x:v>21</x:v>
      </x:c>
      <x:c r="K476" s="6" t="n">
        <x:v>9.2</x:v>
      </x:c>
      <x:c r="L476" s="6" t="n">
        <x:v>15.9</x:v>
      </x:c>
      <x:c r="M476" s="6" t="n">
        <x:v>6.7</x:v>
      </x:c>
      <x:c r="N476" s="6" t="n">
        <x:v>6956.2</x:v>
      </x:c>
      <x:c r="O476" s="6" t="n">
        <x:v>12038.37</x:v>
      </x:c>
      <x:c r="P476" s="6" t="n">
        <x:v>5082.17</x:v>
      </x:c>
      <x:c r="Q476" s="1" t="n">
        <x:v>0</x:v>
      </x:c>
      <x:c r="R476" s="1" t="str">
        <x:v>Yes</x:v>
      </x:c>
      <x:c r="S476" s="7" t="n">
        <x:v>82.4</x:v>
      </x:c>
      <x:c r="T476" s="1" t="str">
        <x:v>Yes</x:v>
      </x:c>
      <x:c r="U476" s="1" t="str">
        <x:v>Completed</x:v>
      </x:c>
    </x:row>
    <x:row r="477">
      <x:c r="A477" s="1" t="str">
        <x:v>PUB-0476</x:v>
      </x:c>
      <x:c r="B477" s="5" t="n">
        <x:v>45711</x:v>
      </x:c>
      <x:c r="C477" s="5" t="n">
        <x:v>45733</x:v>
      </x:c>
      <x:c r="D477" s="5" t="n">
        <x:v>45729</x:v>
      </x:c>
      <x:c r="E477" s="1" t="str">
        <x:v>Design</x:v>
      </x:c>
      <x:c r="F477" s="1" t="str">
        <x:v>School Textbook</x:v>
      </x:c>
      <x:c r="G477" s="1" t="str">
        <x:v>High</x:v>
      </x:c>
      <x:c r="H477" s="1" t="str">
        <x:v>Manual</x:v>
      </x:c>
      <x:c r="I477" s="1" t="str">
        <x:v>Manual / NA</x:v>
      </x:c>
      <x:c r="J477" s="1" t="n">
        <x:v>163</x:v>
      </x:c>
      <x:c r="K477" s="6" t="n">
        <x:v>123.2</x:v>
      </x:c>
      <x:c r="L477" s="6" t="n">
        <x:v>123.2</x:v>
      </x:c>
      <x:c r="M477" s="6" t="n">
        <x:v>0</x:v>
      </x:c>
      <x:c r="N477" s="6" t="n">
        <x:v>126171.7</x:v>
      </x:c>
      <x:c r="O477" s="6" t="n">
        <x:v>126213.35</x:v>
      </x:c>
      <x:c r="P477" s="6" t="n">
        <x:v>41.65</x:v>
      </x:c>
      <x:c r="Q477" s="1" t="n">
        <x:v>1</x:v>
      </x:c>
      <x:c r="R477" s="1" t="str">
        <x:v>No</x:v>
      </x:c>
      <x:c r="S477" s="7" t="n">
        <x:v>86.8</x:v>
      </x:c>
      <x:c r="T477" s="1" t="str">
        <x:v>Yes</x:v>
      </x:c>
      <x:c r="U477" s="1" t="str">
        <x:v>Completed</x:v>
      </x:c>
    </x:row>
    <x:row r="478">
      <x:c r="A478" s="1" t="str">
        <x:v>PUB-0477</x:v>
      </x:c>
      <x:c r="B478" s="5" t="n">
        <x:v>46062</x:v>
      </x:c>
      <x:c r="C478" s="5" t="n">
        <x:v>46070</x:v>
      </x:c>
      <x:c r="D478" s="5" t="n">
        <x:v>46063</x:v>
      </x:c>
      <x:c r="E478" s="1" t="str">
        <x:v>Production</x:v>
      </x:c>
      <x:c r="F478" s="1" t="str">
        <x:v>School Textbook</x:v>
      </x:c>
      <x:c r="G478" s="1" t="str">
        <x:v>Medium</x:v>
      </x:c>
      <x:c r="H478" s="1" t="str">
        <x:v>Manual</x:v>
      </x:c>
      <x:c r="I478" s="1" t="str">
        <x:v>Manual / NA</x:v>
      </x:c>
      <x:c r="J478" s="1" t="n">
        <x:v>18</x:v>
      </x:c>
      <x:c r="K478" s="6" t="n">
        <x:v>7.4</x:v>
      </x:c>
      <x:c r="L478" s="6" t="n">
        <x:v>7.5</x:v>
      </x:c>
      <x:c r="M478" s="6" t="n">
        <x:v>0.1</x:v>
      </x:c>
      <x:c r="N478" s="6" t="n">
        <x:v>8252.21</x:v>
      </x:c>
      <x:c r="O478" s="6" t="n">
        <x:v>8375.72</x:v>
      </x:c>
      <x:c r="P478" s="6" t="n">
        <x:v>123.51</x:v>
      </x:c>
      <x:c r="Q478" s="1" t="n">
        <x:v>0</x:v>
      </x:c>
      <x:c r="R478" s="1" t="str">
        <x:v>Yes</x:v>
      </x:c>
      <x:c r="S478" s="7" t="n">
        <x:v>88.2</x:v>
      </x:c>
      <x:c r="T478" s="1" t="str">
        <x:v>Yes</x:v>
      </x:c>
      <x:c r="U478" s="1" t="str">
        <x:v>Completed</x:v>
      </x:c>
    </x:row>
    <x:row r="479">
      <x:c r="A479" s="1" t="str">
        <x:v>PUB-0478</x:v>
      </x:c>
      <x:c r="B479" s="5" t="n">
        <x:v>45777</x:v>
      </x:c>
      <x:c r="C479" s="5" t="n">
        <x:v>45791</x:v>
      </x:c>
      <x:c r="D479" s="5" t="n">
        <x:v>45780</x:v>
      </x:c>
      <x:c r="E479" s="1" t="str">
        <x:v>Editorial</x:v>
      </x:c>
      <x:c r="F479" s="1" t="str">
        <x:v>E-book</x:v>
      </x:c>
      <x:c r="G479" s="1" t="str">
        <x:v>Medium</x:v>
      </x:c>
      <x:c r="H479" s="1" t="str">
        <x:v>AI-Assisted</x:v>
      </x:c>
      <x:c r="I479" s="1" t="str">
        <x:v>Visual Brief</x:v>
      </x:c>
      <x:c r="J479" s="1" t="n">
        <x:v>79</x:v>
      </x:c>
      <x:c r="K479" s="6" t="n">
        <x:v>24.4</x:v>
      </x:c>
      <x:c r="L479" s="6" t="n">
        <x:v>44.5</x:v>
      </x:c>
      <x:c r="M479" s="6" t="n">
        <x:v>20.1</x:v>
      </x:c>
      <x:c r="N479" s="6" t="n">
        <x:v>26558.62</x:v>
      </x:c>
      <x:c r="O479" s="6" t="n">
        <x:v>48478.2</x:v>
      </x:c>
      <x:c r="P479" s="6" t="n">
        <x:v>21919.58</x:v>
      </x:c>
      <x:c r="Q479" s="1" t="n">
        <x:v>0</x:v>
      </x:c>
      <x:c r="R479" s="1" t="str">
        <x:v>Yes</x:v>
      </x:c>
      <x:c r="S479" s="7" t="n">
        <x:v>92.5</x:v>
      </x:c>
      <x:c r="T479" s="1" t="str">
        <x:v>Yes</x:v>
      </x:c>
      <x:c r="U479" s="1" t="str">
        <x:v>Completed</x:v>
      </x:c>
    </x:row>
    <x:row r="480">
      <x:c r="A480" s="1" t="str">
        <x:v>PUB-0479</x:v>
      </x:c>
      <x:c r="B480" s="5" t="n">
        <x:v>46104</x:v>
      </x:c>
      <x:c r="C480" s="5" t="n">
        <x:v>46124</x:v>
      </x:c>
      <x:c r="D480" s="5" t="n">
        <x:v>46122</x:v>
      </x:c>
      <x:c r="E480" s="1" t="str">
        <x:v>Digital Learning</x:v>
      </x:c>
      <x:c r="F480" s="1" t="str">
        <x:v>Workbook</x:v>
      </x:c>
      <x:c r="G480" s="1" t="str">
        <x:v>High</x:v>
      </x:c>
      <x:c r="H480" s="1" t="str">
        <x:v>Manual</x:v>
      </x:c>
      <x:c r="I480" s="1" t="str">
        <x:v>Manual / NA</x:v>
      </x:c>
      <x:c r="J480" s="1" t="n">
        <x:v>203</x:v>
      </x:c>
      <x:c r="K480" s="6" t="n">
        <x:v>137.6</x:v>
      </x:c>
      <x:c r="L480" s="6" t="n">
        <x:v>129.2</x:v>
      </x:c>
      <x:c r="M480" s="6" t="n">
        <x:v>0</x:v>
      </x:c>
      <x:c r="N480" s="6" t="n">
        <x:v>133241.67</x:v>
      </x:c>
      <x:c r="O480" s="6" t="n">
        <x:v>125130.28</x:v>
      </x:c>
      <x:c r="P480" s="6" t="n">
        <x:v>0</x:v>
      </x:c>
      <x:c r="Q480" s="1" t="n">
        <x:v>0</x:v>
      </x:c>
      <x:c r="R480" s="1" t="str">
        <x:v>Yes</x:v>
      </x:c>
      <x:c r="S480" s="7" t="n">
        <x:v>85.7</x:v>
      </x:c>
      <x:c r="T480" s="1" t="str">
        <x:v>Yes</x:v>
      </x:c>
      <x:c r="U480" s="1" t="str">
        <x:v>Completed</x:v>
      </x:c>
    </x:row>
    <x:row r="481">
      <x:c r="A481" s="1" t="str">
        <x:v>PUB-0480</x:v>
      </x:c>
      <x:c r="B481" s="5" t="n">
        <x:v>45825</x:v>
      </x:c>
      <x:c r="C481" s="5" t="n">
        <x:v>45839</x:v>
      </x:c>
      <x:c r="D481" s="5" t="n">
        <x:v>45832</x:v>
      </x:c>
      <x:c r="E481" s="1" t="str">
        <x:v>Production</x:v>
      </x:c>
      <x:c r="F481" s="1" t="str">
        <x:v>Workbook</x:v>
      </x:c>
      <x:c r="G481" s="1" t="str">
        <x:v>Low</x:v>
      </x:c>
      <x:c r="H481" s="1" t="str">
        <x:v>Manual</x:v>
      </x:c>
      <x:c r="I481" s="1" t="str">
        <x:v>Manual / NA</x:v>
      </x:c>
      <x:c r="J481" s="1" t="n">
        <x:v>134</x:v>
      </x:c>
      <x:c r="K481" s="6" t="n">
        <x:v>49.2</x:v>
      </x:c>
      <x:c r="L481" s="6" t="n">
        <x:v>48.2</x:v>
      </x:c>
      <x:c r="M481" s="6" t="n">
        <x:v>0</x:v>
      </x:c>
      <x:c r="N481" s="6" t="n">
        <x:v>43915.91</x:v>
      </x:c>
      <x:c r="O481" s="6" t="n">
        <x:v>43001.15</x:v>
      </x:c>
      <x:c r="P481" s="6" t="n">
        <x:v>0</x:v>
      </x:c>
      <x:c r="Q481" s="1" t="n">
        <x:v>0</x:v>
      </x:c>
      <x:c r="R481" s="1" t="str">
        <x:v>Yes</x:v>
      </x:c>
      <x:c r="S481" s="7" t="n">
        <x:v>86.7</x:v>
      </x:c>
      <x:c r="T481" s="1" t="str">
        <x:v>Yes</x:v>
      </x:c>
      <x:c r="U481" s="1" t="str">
        <x:v>Completed</x:v>
      </x:c>
    </x:row>
    <x:row r="482">
      <x:c r="A482" s="1" t="str">
        <x:v>PUB-0481</x:v>
      </x:c>
      <x:c r="B482" s="5" t="n">
        <x:v>45784</x:v>
      </x:c>
      <x:c r="C482" s="5" t="n">
        <x:v>45801</x:v>
      </x:c>
      <x:c r="D482" s="5" t="n">
        <x:v>45792</x:v>
      </x:c>
      <x:c r="E482" s="1" t="str">
        <x:v>Design</x:v>
      </x:c>
      <x:c r="F482" s="1" t="str">
        <x:v>School Textbook</x:v>
      </x:c>
      <x:c r="G482" s="1" t="str">
        <x:v>Medium</x:v>
      </x:c>
      <x:c r="H482" s="1" t="str">
        <x:v>AI-Assisted</x:v>
      </x:c>
      <x:c r="I482" s="1" t="str">
        <x:v>Visual Brief</x:v>
      </x:c>
      <x:c r="J482" s="1" t="n">
        <x:v>199</x:v>
      </x:c>
      <x:c r="K482" s="6" t="n">
        <x:v>58</x:v>
      </x:c>
      <x:c r="L482" s="6" t="n">
        <x:v>83.6</x:v>
      </x:c>
      <x:c r="M482" s="6" t="n">
        <x:v>25.6</x:v>
      </x:c>
      <x:c r="N482" s="6" t="n">
        <x:v>54684.64</x:v>
      </x:c>
      <x:c r="O482" s="6" t="n">
        <x:v>78805.11</x:v>
      </x:c>
      <x:c r="P482" s="6" t="n">
        <x:v>24120.47</x:v>
      </x:c>
      <x:c r="Q482" s="1" t="n">
        <x:v>0</x:v>
      </x:c>
      <x:c r="R482" s="1" t="str">
        <x:v>Yes</x:v>
      </x:c>
      <x:c r="S482" s="7" t="n">
        <x:v>95.6</x:v>
      </x:c>
      <x:c r="T482" s="1" t="str">
        <x:v>Yes</x:v>
      </x:c>
      <x:c r="U482" s="1" t="str">
        <x:v>Completed</x:v>
      </x:c>
    </x:row>
    <x:row r="483">
      <x:c r="A483" s="1" t="str">
        <x:v>PUB-0482</x:v>
      </x:c>
      <x:c r="B483" s="5" t="n">
        <x:v>45736</x:v>
      </x:c>
      <x:c r="C483" s="5" t="n">
        <x:v>45747</x:v>
      </x:c>
      <x:c r="D483" s="5" t="n">
        <x:v>45738</x:v>
      </x:c>
      <x:c r="E483" s="1" t="str">
        <x:v>Editorial</x:v>
      </x:c>
      <x:c r="F483" s="1" t="str">
        <x:v>Assessment</x:v>
      </x:c>
      <x:c r="G483" s="1" t="str">
        <x:v>Medium</x:v>
      </x:c>
      <x:c r="H483" s="1" t="str">
        <x:v>AI-Assisted</x:v>
      </x:c>
      <x:c r="I483" s="1" t="str">
        <x:v>Structured v3</x:v>
      </x:c>
      <x:c r="J483" s="1" t="n">
        <x:v>40</x:v>
      </x:c>
      <x:c r="K483" s="6" t="n">
        <x:v>11.7</x:v>
      </x:c>
      <x:c r="L483" s="6" t="n">
        <x:v>20.4</x:v>
      </x:c>
      <x:c r="M483" s="6" t="n">
        <x:v>8.7</x:v>
      </x:c>
      <x:c r="N483" s="6" t="n">
        <x:v>11058.48</x:v>
      </x:c>
      <x:c r="O483" s="6" t="n">
        <x:v>19271.65</x:v>
      </x:c>
      <x:c r="P483" s="6" t="n">
        <x:v>8213.17</x:v>
      </x:c>
      <x:c r="Q483" s="1" t="n">
        <x:v>0</x:v>
      </x:c>
      <x:c r="R483" s="1" t="str">
        <x:v>Yes</x:v>
      </x:c>
      <x:c r="S483" s="7" t="n">
        <x:v>87.8</x:v>
      </x:c>
      <x:c r="T483" s="1" t="str">
        <x:v>Yes</x:v>
      </x:c>
      <x:c r="U483" s="1" t="str">
        <x:v>Completed</x:v>
      </x:c>
    </x:row>
    <x:row r="484">
      <x:c r="A484" s="1" t="str">
        <x:v>PUB-0483</x:v>
      </x:c>
      <x:c r="B484" s="5" t="n">
        <x:v>45741</x:v>
      </x:c>
      <x:c r="C484" s="5" t="n">
        <x:v>45750</x:v>
      </x:c>
      <x:c r="D484" s="5" t="n">
        <x:v>45742</x:v>
      </x:c>
      <x:c r="E484" s="1" t="str">
        <x:v>Design</x:v>
      </x:c>
      <x:c r="F484" s="1" t="str">
        <x:v>Illustration</x:v>
      </x:c>
      <x:c r="G484" s="1" t="str">
        <x:v>Medium</x:v>
      </x:c>
      <x:c r="H484" s="1" t="str">
        <x:v>AI-Assisted</x:v>
      </x:c>
      <x:c r="I484" s="1" t="str">
        <x:v>Editorial QA</x:v>
      </x:c>
      <x:c r="J484" s="1" t="n">
        <x:v>38</x:v>
      </x:c>
      <x:c r="K484" s="6" t="n">
        <x:v>9.8</x:v>
      </x:c>
      <x:c r="L484" s="6" t="n">
        <x:v>13.7</x:v>
      </x:c>
      <x:c r="M484" s="6" t="n">
        <x:v>3.9</x:v>
      </x:c>
      <x:c r="N484" s="6" t="n">
        <x:v>9585.25</x:v>
      </x:c>
      <x:c r="O484" s="6" t="n">
        <x:v>13427.69</x:v>
      </x:c>
      <x:c r="P484" s="6" t="n">
        <x:v>3842.44</x:v>
      </x:c>
      <x:c r="Q484" s="1" t="n">
        <x:v>0</x:v>
      </x:c>
      <x:c r="R484" s="1" t="str">
        <x:v>Yes</x:v>
      </x:c>
      <x:c r="S484" s="7" t="n">
        <x:v>85</x:v>
      </x:c>
      <x:c r="T484" s="1" t="str">
        <x:v>Yes</x:v>
      </x:c>
      <x:c r="U484" s="1" t="str">
        <x:v>Completed</x:v>
      </x:c>
    </x:row>
    <x:row r="485">
      <x:c r="A485" s="1" t="str">
        <x:v>PUB-0484</x:v>
      </x:c>
      <x:c r="B485" s="5" t="n">
        <x:v>45707</x:v>
      </x:c>
      <x:c r="C485" s="5" t="n">
        <x:v>45727</x:v>
      </x:c>
      <x:c r="D485" s="5" t="n">
        <x:v>45725</x:v>
      </x:c>
      <x:c r="E485" s="1" t="str">
        <x:v>Digital Learning</x:v>
      </x:c>
      <x:c r="F485" s="1" t="str">
        <x:v>Workbook</x:v>
      </x:c>
      <x:c r="G485" s="1" t="str">
        <x:v>Low</x:v>
      </x:c>
      <x:c r="H485" s="1" t="str">
        <x:v>Manual</x:v>
      </x:c>
      <x:c r="I485" s="1" t="str">
        <x:v>Manual / NA</x:v>
      </x:c>
      <x:c r="J485" s="1" t="n">
        <x:v>198</x:v>
      </x:c>
      <x:c r="K485" s="6" t="n">
        <x:v>88.4</x:v>
      </x:c>
      <x:c r="L485" s="6" t="n">
        <x:v>92.5</x:v>
      </x:c>
      <x:c r="M485" s="6" t="n">
        <x:v>4.1</x:v>
      </x:c>
      <x:c r="N485" s="6" t="n">
        <x:v>75089.55</x:v>
      </x:c>
      <x:c r="O485" s="6" t="n">
        <x:v>78530.34</x:v>
      </x:c>
      <x:c r="P485" s="6" t="n">
        <x:v>3440.79</x:v>
      </x:c>
      <x:c r="Q485" s="1" t="n">
        <x:v>3</x:v>
      </x:c>
      <x:c r="R485" s="1" t="str">
        <x:v>No</x:v>
      </x:c>
      <x:c r="S485" s="7" t="n">
        <x:v>88.1</x:v>
      </x:c>
      <x:c r="T485" s="1" t="str">
        <x:v>Yes</x:v>
      </x:c>
      <x:c r="U485" s="1" t="str">
        <x:v>Completed</x:v>
      </x:c>
    </x:row>
    <x:row r="486">
      <x:c r="A486" s="1" t="str">
        <x:v>PUB-0485</x:v>
      </x:c>
      <x:c r="B486" s="5" t="n">
        <x:v>45871</x:v>
      </x:c>
      <x:c r="C486" s="5" t="n">
        <x:v>45880</x:v>
      </x:c>
      <x:c r="D486" s="5" t="n">
        <x:v>45872</x:v>
      </x:c>
      <x:c r="E486" s="1" t="str">
        <x:v>Editorial</x:v>
      </x:c>
      <x:c r="F486" s="1" t="str">
        <x:v>Illustration</x:v>
      </x:c>
      <x:c r="G486" s="1" t="str">
        <x:v>Low</x:v>
      </x:c>
      <x:c r="H486" s="1" t="str">
        <x:v>AI-Assisted</x:v>
      </x:c>
      <x:c r="I486" s="1" t="str">
        <x:v>Editorial QA</x:v>
      </x:c>
      <x:c r="J486" s="1" t="n">
        <x:v>23</x:v>
      </x:c>
      <x:c r="K486" s="6" t="n">
        <x:v>5.2</x:v>
      </x:c>
      <x:c r="L486" s="6" t="n">
        <x:v>8.8</x:v>
      </x:c>
      <x:c r="M486" s="6" t="n">
        <x:v>3.6</x:v>
      </x:c>
      <x:c r="N486" s="6" t="n">
        <x:v>5476.52</x:v>
      </x:c>
      <x:c r="O486" s="6" t="n">
        <x:v>9295.56</x:v>
      </x:c>
      <x:c r="P486" s="6" t="n">
        <x:v>3819.04</x:v>
      </x:c>
      <x:c r="Q486" s="1" t="n">
        <x:v>0</x:v>
      </x:c>
      <x:c r="R486" s="1" t="str">
        <x:v>Yes</x:v>
      </x:c>
      <x:c r="S486" s="7" t="n">
        <x:v>87.8</x:v>
      </x:c>
      <x:c r="T486" s="1" t="str">
        <x:v>Yes</x:v>
      </x:c>
      <x:c r="U486" s="1" t="str">
        <x:v>Completed</x:v>
      </x:c>
    </x:row>
    <x:row r="487">
      <x:c r="A487" s="1" t="str">
        <x:v>PUB-0486</x:v>
      </x:c>
      <x:c r="B487" s="5" t="n">
        <x:v>46182</x:v>
      </x:c>
      <x:c r="C487" s="5" t="n">
        <x:v>46198</x:v>
      </x:c>
      <x:c r="D487" s="5" t="n">
        <x:v>46190</x:v>
      </x:c>
      <x:c r="E487" s="1" t="str">
        <x:v>Editorial</x:v>
      </x:c>
      <x:c r="F487" s="1" t="str">
        <x:v>Workbook</x:v>
      </x:c>
      <x:c r="G487" s="1" t="str">
        <x:v>Medium</x:v>
      </x:c>
      <x:c r="H487" s="1" t="str">
        <x:v>AI-Assisted</x:v>
      </x:c>
      <x:c r="I487" s="1" t="str">
        <x:v>Structured v3</x:v>
      </x:c>
      <x:c r="J487" s="1" t="n">
        <x:v>161</x:v>
      </x:c>
      <x:c r="K487" s="6" t="n">
        <x:v>57.2</x:v>
      </x:c>
      <x:c r="L487" s="6" t="n">
        <x:v>84.8</x:v>
      </x:c>
      <x:c r="M487" s="6" t="n">
        <x:v>27.6</x:v>
      </x:c>
      <x:c r="N487" s="6" t="n">
        <x:v>54736.62</x:v>
      </x:c>
      <x:c r="O487" s="6" t="n">
        <x:v>81104.83</x:v>
      </x:c>
      <x:c r="P487" s="6" t="n">
        <x:v>26368.21</x:v>
      </x:c>
      <x:c r="Q487" s="1" t="n">
        <x:v>0</x:v>
      </x:c>
      <x:c r="R487" s="1" t="str">
        <x:v>Yes</x:v>
      </x:c>
      <x:c r="S487" s="7" t="n">
        <x:v>86.3</x:v>
      </x:c>
      <x:c r="T487" s="1" t="str">
        <x:v>Yes</x:v>
      </x:c>
      <x:c r="U487" s="1" t="str">
        <x:v>Completed</x:v>
      </x:c>
    </x:row>
    <x:row r="488">
      <x:c r="A488" s="1" t="str">
        <x:v>PUB-0487</x:v>
      </x:c>
      <x:c r="B488" s="5" t="n">
        <x:v>46007</x:v>
      </x:c>
      <x:c r="C488" s="5" t="n">
        <x:v>46018</x:v>
      </x:c>
      <x:c r="D488" s="5" t="n">
        <x:v>46013</x:v>
      </x:c>
      <x:c r="E488" s="1" t="str">
        <x:v>Digital Learning</x:v>
      </x:c>
      <x:c r="F488" s="1" t="str">
        <x:v>Illustration</x:v>
      </x:c>
      <x:c r="G488" s="1" t="str">
        <x:v>Medium</x:v>
      </x:c>
      <x:c r="H488" s="1" t="str">
        <x:v>AI-Assisted</x:v>
      </x:c>
      <x:c r="I488" s="1" t="str">
        <x:v>Editorial QA</x:v>
      </x:c>
      <x:c r="J488" s="1" t="n">
        <x:v>67</x:v>
      </x:c>
      <x:c r="K488" s="6" t="n">
        <x:v>16.8</x:v>
      </x:c>
      <x:c r="L488" s="6" t="n">
        <x:v>33.7</x:v>
      </x:c>
      <x:c r="M488" s="6" t="n">
        <x:v>16.9</x:v>
      </x:c>
      <x:c r="N488" s="6" t="n">
        <x:v>14853.04</x:v>
      </x:c>
      <x:c r="O488" s="6" t="n">
        <x:v>29759.22</x:v>
      </x:c>
      <x:c r="P488" s="6" t="n">
        <x:v>14906.18</x:v>
      </x:c>
      <x:c r="Q488" s="1" t="n">
        <x:v>2</x:v>
      </x:c>
      <x:c r="R488" s="1" t="str">
        <x:v>No</x:v>
      </x:c>
      <x:c r="S488" s="7" t="n">
        <x:v>80.9</x:v>
      </x:c>
      <x:c r="T488" s="1" t="str">
        <x:v>Yes</x:v>
      </x:c>
      <x:c r="U488" s="1" t="str">
        <x:v>Completed</x:v>
      </x:c>
    </x:row>
    <x:row r="489">
      <x:c r="A489" s="1" t="str">
        <x:v>PUB-0488</x:v>
      </x:c>
      <x:c r="B489" s="5" t="n">
        <x:v>46193</x:v>
      </x:c>
      <x:c r="C489" s="5" t="n">
        <x:v>46200</x:v>
      </x:c>
      <x:c r="D489" s="5" t="n">
        <x:v>46195</x:v>
      </x:c>
      <x:c r="E489" s="1" t="str">
        <x:v>Design</x:v>
      </x:c>
      <x:c r="F489" s="1" t="str">
        <x:v>Assessment</x:v>
      </x:c>
      <x:c r="G489" s="1" t="str">
        <x:v>Low</x:v>
      </x:c>
      <x:c r="H489" s="1" t="str">
        <x:v>AI-Assisted</x:v>
      </x:c>
      <x:c r="I489" s="1" t="str">
        <x:v>Visual Brief</x:v>
      </x:c>
      <x:c r="J489" s="1" t="n">
        <x:v>69</x:v>
      </x:c>
      <x:c r="K489" s="6" t="n">
        <x:v>12.9</x:v>
      </x:c>
      <x:c r="L489" s="6" t="n">
        <x:v>25.7</x:v>
      </x:c>
      <x:c r="M489" s="6" t="n">
        <x:v>12.8</x:v>
      </x:c>
      <x:c r="N489" s="6" t="n">
        <x:v>12647.52</x:v>
      </x:c>
      <x:c r="O489" s="6" t="n">
        <x:v>25155.77</x:v>
      </x:c>
      <x:c r="P489" s="6" t="n">
        <x:v>12508.25</x:v>
      </x:c>
      <x:c r="Q489" s="1" t="n">
        <x:v>0</x:v>
      </x:c>
      <x:c r="R489" s="1" t="str">
        <x:v>Yes</x:v>
      </x:c>
      <x:c r="S489" s="7" t="n">
        <x:v>99</x:v>
      </x:c>
      <x:c r="T489" s="1" t="str">
        <x:v>Yes</x:v>
      </x:c>
      <x:c r="U489" s="1" t="str">
        <x:v>Completed</x:v>
      </x:c>
    </x:row>
    <x:row r="490">
      <x:c r="A490" s="1" t="str">
        <x:v>PUB-0489</x:v>
      </x:c>
      <x:c r="B490" s="5" t="n">
        <x:v>45741</x:v>
      </x:c>
      <x:c r="C490" s="5" t="n">
        <x:v>45752</x:v>
      </x:c>
      <x:c r="D490" s="5" t="n">
        <x:v>45746</x:v>
      </x:c>
      <x:c r="E490" s="1" t="str">
        <x:v>Production</x:v>
      </x:c>
      <x:c r="F490" s="1" t="str">
        <x:v>School Textbook</x:v>
      </x:c>
      <x:c r="G490" s="1" t="str">
        <x:v>Low</x:v>
      </x:c>
      <x:c r="H490" s="1" t="str">
        <x:v>Manual</x:v>
      </x:c>
      <x:c r="I490" s="1" t="str">
        <x:v>Manual / NA</x:v>
      </x:c>
      <x:c r="J490" s="1" t="n">
        <x:v>126</x:v>
      </x:c>
      <x:c r="K490" s="6" t="n">
        <x:v>39.6</x:v>
      </x:c>
      <x:c r="L490" s="6" t="n">
        <x:v>41.3</x:v>
      </x:c>
      <x:c r="M490" s="6" t="n">
        <x:v>1.7</x:v>
      </x:c>
      <x:c r="N490" s="6" t="n">
        <x:v>27389.15</x:v>
      </x:c>
      <x:c r="O490" s="6" t="n">
        <x:v>28590.45</x:v>
      </x:c>
      <x:c r="P490" s="6" t="n">
        <x:v>1201.3</x:v>
      </x:c>
      <x:c r="Q490" s="1" t="n">
        <x:v>0</x:v>
      </x:c>
      <x:c r="R490" s="1" t="str">
        <x:v>Yes</x:v>
      </x:c>
      <x:c r="S490" s="7" t="n">
        <x:v>82.8</x:v>
      </x:c>
      <x:c r="T490" s="1" t="str">
        <x:v>Yes</x:v>
      </x:c>
      <x:c r="U490" s="1" t="str">
        <x:v>Completed</x:v>
      </x:c>
    </x:row>
    <x:row r="491">
      <x:c r="A491" s="1" t="str">
        <x:v>PUB-0490</x:v>
      </x:c>
      <x:c r="B491" s="5" t="n">
        <x:v>45929</x:v>
      </x:c>
      <x:c r="C491" s="5" t="n">
        <x:v>45935</x:v>
      </x:c>
      <x:c r="D491" s="5" t="n">
        <x:v>45935</x:v>
      </x:c>
      <x:c r="E491" s="1" t="str">
        <x:v>Design</x:v>
      </x:c>
      <x:c r="F491" s="1" t="str">
        <x:v>E-book</x:v>
      </x:c>
      <x:c r="G491" s="1" t="str">
        <x:v>Low</x:v>
      </x:c>
      <x:c r="H491" s="1" t="str">
        <x:v>Manual</x:v>
      </x:c>
      <x:c r="I491" s="1" t="str">
        <x:v>Manual / NA</x:v>
      </x:c>
      <x:c r="J491" s="1" t="n">
        <x:v>62</x:v>
      </x:c>
      <x:c r="K491" s="6" t="n">
        <x:v>26.7</x:v>
      </x:c>
      <x:c r="L491" s="6" t="n">
        <x:v>26.7</x:v>
      </x:c>
      <x:c r="M491" s="6" t="n">
        <x:v>0</x:v>
      </x:c>
      <x:c r="N491" s="6" t="n">
        <x:v>28991.07</x:v>
      </x:c>
      <x:c r="O491" s="6" t="n">
        <x:v>28945.22</x:v>
      </x:c>
      <x:c r="P491" s="6" t="n">
        <x:v>0</x:v>
      </x:c>
      <x:c r="Q491" s="1" t="n">
        <x:v>1</x:v>
      </x:c>
      <x:c r="R491" s="1" t="str">
        <x:v>No</x:v>
      </x:c>
      <x:c r="S491" s="7" t="n">
        <x:v>90.4</x:v>
      </x:c>
      <x:c r="T491" s="1" t="str">
        <x:v>Yes</x:v>
      </x:c>
      <x:c r="U491" s="1" t="str">
        <x:v>Completed</x:v>
      </x:c>
    </x:row>
    <x:row r="492">
      <x:c r="A492" s="1" t="str">
        <x:v>PUB-0491</x:v>
      </x:c>
      <x:c r="B492" s="5" t="n">
        <x:v>45833</x:v>
      </x:c>
      <x:c r="C492" s="5" t="n">
        <x:v>45850</x:v>
      </x:c>
      <x:c r="D492" s="5" t="n">
        <x:v>45841</x:v>
      </x:c>
      <x:c r="E492" s="1" t="str">
        <x:v>Production</x:v>
      </x:c>
      <x:c r="F492" s="1" t="str">
        <x:v>Workbook</x:v>
      </x:c>
      <x:c r="G492" s="1" t="str">
        <x:v>Medium</x:v>
      </x:c>
      <x:c r="H492" s="1" t="str">
        <x:v>AI-Assisted</x:v>
      </x:c>
      <x:c r="I492" s="1" t="str">
        <x:v>Editorial QA</x:v>
      </x:c>
      <x:c r="J492" s="1" t="n">
        <x:v>198</x:v>
      </x:c>
      <x:c r="K492" s="6" t="n">
        <x:v>58.1</x:v>
      </x:c>
      <x:c r="L492" s="6" t="n">
        <x:v>92.5</x:v>
      </x:c>
      <x:c r="M492" s="6" t="n">
        <x:v>34.4</x:v>
      </x:c>
      <x:c r="N492" s="6" t="n">
        <x:v>66057.43</x:v>
      </x:c>
      <x:c r="O492" s="6" t="n">
        <x:v>105148</x:v>
      </x:c>
      <x:c r="P492" s="6" t="n">
        <x:v>39090.57</x:v>
      </x:c>
      <x:c r="Q492" s="1" t="n">
        <x:v>0</x:v>
      </x:c>
      <x:c r="R492" s="1" t="str">
        <x:v>Yes</x:v>
      </x:c>
      <x:c r="S492" s="7" t="n">
        <x:v>85.1</x:v>
      </x:c>
      <x:c r="T492" s="1" t="str">
        <x:v>Yes</x:v>
      </x:c>
      <x:c r="U492" s="1" t="str">
        <x:v>Completed</x:v>
      </x:c>
    </x:row>
    <x:row r="493">
      <x:c r="A493" s="1" t="str">
        <x:v>PUB-0492</x:v>
      </x:c>
      <x:c r="B493" s="5" t="n">
        <x:v>45796</x:v>
      </x:c>
      <x:c r="C493" s="5" t="n">
        <x:v>45806</x:v>
      </x:c>
      <x:c r="D493" s="5" t="n">
        <x:v>45797</x:v>
      </x:c>
      <x:c r="E493" s="1" t="str">
        <x:v>Editorial</x:v>
      </x:c>
      <x:c r="F493" s="1" t="str">
        <x:v>School Textbook</x:v>
      </x:c>
      <x:c r="G493" s="1" t="str">
        <x:v>Low</x:v>
      </x:c>
      <x:c r="H493" s="1" t="str">
        <x:v>AI-Assisted</x:v>
      </x:c>
      <x:c r="I493" s="1" t="str">
        <x:v>Visual Brief</x:v>
      </x:c>
      <x:c r="J493" s="1" t="n">
        <x:v>14</x:v>
      </x:c>
      <x:c r="K493" s="6" t="n">
        <x:v>3.7</x:v>
      </x:c>
      <x:c r="L493" s="6" t="n">
        <x:v>5.8</x:v>
      </x:c>
      <x:c r="M493" s="6" t="n">
        <x:v>2.1</x:v>
      </x:c>
      <x:c r="N493" s="6" t="n">
        <x:v>3211.21</x:v>
      </x:c>
      <x:c r="O493" s="6" t="n">
        <x:v>5008.59</x:v>
      </x:c>
      <x:c r="P493" s="6" t="n">
        <x:v>1797.38</x:v>
      </x:c>
      <x:c r="Q493" s="1" t="n">
        <x:v>0</x:v>
      </x:c>
      <x:c r="R493" s="1" t="str">
        <x:v>Yes</x:v>
      </x:c>
      <x:c r="S493" s="7" t="n">
        <x:v>81.5</x:v>
      </x:c>
      <x:c r="T493" s="1" t="str">
        <x:v>Yes</x:v>
      </x:c>
      <x:c r="U493" s="1" t="str">
        <x:v>Completed</x:v>
      </x:c>
    </x:row>
    <x:row r="494">
      <x:c r="A494" s="1" t="str">
        <x:v>PUB-0493</x:v>
      </x:c>
      <x:c r="B494" s="5" t="n">
        <x:v>45966</x:v>
      </x:c>
      <x:c r="C494" s="5" t="n">
        <x:v>45977</x:v>
      </x:c>
      <x:c r="D494" s="5" t="n">
        <x:v>45968</x:v>
      </x:c>
      <x:c r="E494" s="1" t="str">
        <x:v>Production</x:v>
      </x:c>
      <x:c r="F494" s="1" t="str">
        <x:v>School Textbook</x:v>
      </x:c>
      <x:c r="G494" s="1" t="str">
        <x:v>Medium</x:v>
      </x:c>
      <x:c r="H494" s="1" t="str">
        <x:v>AI-Assisted</x:v>
      </x:c>
      <x:c r="I494" s="1" t="str">
        <x:v>Structured v3</x:v>
      </x:c>
      <x:c r="J494" s="1" t="n">
        <x:v>47</x:v>
      </x:c>
      <x:c r="K494" s="6" t="n">
        <x:v>12.8</x:v>
      </x:c>
      <x:c r="L494" s="6" t="n">
        <x:v>21.5</x:v>
      </x:c>
      <x:c r="M494" s="6" t="n">
        <x:v>8.7</x:v>
      </x:c>
      <x:c r="N494" s="6" t="n">
        <x:v>8445.62</x:v>
      </x:c>
      <x:c r="O494" s="6" t="n">
        <x:v>14201.87</x:v>
      </x:c>
      <x:c r="P494" s="6" t="n">
        <x:v>5756.25</x:v>
      </x:c>
      <x:c r="Q494" s="1" t="n">
        <x:v>0</x:v>
      </x:c>
      <x:c r="R494" s="1" t="str">
        <x:v>Yes</x:v>
      </x:c>
      <x:c r="S494" s="7" t="n">
        <x:v>89.2</x:v>
      </x:c>
      <x:c r="T494" s="1" t="str">
        <x:v>Yes</x:v>
      </x:c>
      <x:c r="U494" s="1" t="str">
        <x:v>Completed</x:v>
      </x:c>
    </x:row>
    <x:row r="495">
      <x:c r="A495" s="1" t="str">
        <x:v>PUB-0494</x:v>
      </x:c>
      <x:c r="B495" s="5" t="n">
        <x:v>45666</x:v>
      </x:c>
      <x:c r="C495" s="5" t="n">
        <x:v>45680</x:v>
      </x:c>
      <x:c r="D495" s="5" t="n">
        <x:v>45671</x:v>
      </x:c>
      <x:c r="E495" s="1" t="str">
        <x:v>Editorial</x:v>
      </x:c>
      <x:c r="F495" s="1" t="str">
        <x:v>E-book</x:v>
      </x:c>
      <x:c r="G495" s="1" t="str">
        <x:v>Medium</x:v>
      </x:c>
      <x:c r="H495" s="1" t="str">
        <x:v>AI-Assisted</x:v>
      </x:c>
      <x:c r="I495" s="1" t="str">
        <x:v>Few-shot v2</x:v>
      </x:c>
      <x:c r="J495" s="1" t="n">
        <x:v>134</x:v>
      </x:c>
      <x:c r="K495" s="6" t="n">
        <x:v>40.3</x:v>
      </x:c>
      <x:c r="L495" s="6" t="n">
        <x:v>65.8</x:v>
      </x:c>
      <x:c r="M495" s="6" t="n">
        <x:v>25.5</x:v>
      </x:c>
      <x:c r="N495" s="6" t="n">
        <x:v>32054.11</x:v>
      </x:c>
      <x:c r="O495" s="6" t="n">
        <x:v>52340.74</x:v>
      </x:c>
      <x:c r="P495" s="6" t="n">
        <x:v>20286.63</x:v>
      </x:c>
      <x:c r="Q495" s="1" t="n">
        <x:v>0</x:v>
      </x:c>
      <x:c r="R495" s="1" t="str">
        <x:v>Yes</x:v>
      </x:c>
      <x:c r="S495" s="7" t="n">
        <x:v>93.6</x:v>
      </x:c>
      <x:c r="T495" s="1" t="str">
        <x:v>Yes</x:v>
      </x:c>
      <x:c r="U495" s="1" t="str">
        <x:v>Completed</x:v>
      </x:c>
    </x:row>
    <x:row r="496">
      <x:c r="A496" s="1" t="str">
        <x:v>PUB-0495</x:v>
      </x:c>
      <x:c r="B496" s="5" t="n">
        <x:v>46157</x:v>
      </x:c>
      <x:c r="C496" s="5" t="n">
        <x:v>46173</x:v>
      </x:c>
      <x:c r="D496" s="5" t="n">
        <x:v>46162</x:v>
      </x:c>
      <x:c r="E496" s="1" t="str">
        <x:v>Editorial</x:v>
      </x:c>
      <x:c r="F496" s="1" t="str">
        <x:v>School Textbook</x:v>
      </x:c>
      <x:c r="G496" s="1" t="str">
        <x:v>Low</x:v>
      </x:c>
      <x:c r="H496" s="1" t="str">
        <x:v>AI-Assisted</x:v>
      </x:c>
      <x:c r="I496" s="1" t="str">
        <x:v>Editorial QA</x:v>
      </x:c>
      <x:c r="J496" s="1" t="n">
        <x:v>149</x:v>
      </x:c>
      <x:c r="K496" s="6" t="n">
        <x:v>39.4</x:v>
      </x:c>
      <x:c r="L496" s="6" t="n">
        <x:v>68</x:v>
      </x:c>
      <x:c r="M496" s="6" t="n">
        <x:v>28.6</x:v>
      </x:c>
      <x:c r="N496" s="6" t="n">
        <x:v>34934.76</x:v>
      </x:c>
      <x:c r="O496" s="6" t="n">
        <x:v>60280.17</x:v>
      </x:c>
      <x:c r="P496" s="6" t="n">
        <x:v>25345.41</x:v>
      </x:c>
      <x:c r="Q496" s="1" t="n">
        <x:v>0</x:v>
      </x:c>
      <x:c r="R496" s="1" t="str">
        <x:v>Yes</x:v>
      </x:c>
      <x:c r="S496" s="7" t="n">
        <x:v>93.7</x:v>
      </x:c>
      <x:c r="T496" s="1" t="str">
        <x:v>Yes</x:v>
      </x:c>
      <x:c r="U496" s="1" t="str">
        <x:v>Completed</x:v>
      </x:c>
    </x:row>
    <x:row r="497">
      <x:c r="A497" s="1" t="str">
        <x:v>PUB-0496</x:v>
      </x:c>
      <x:c r="B497" s="5" t="n">
        <x:v>45952</x:v>
      </x:c>
      <x:c r="C497" s="5" t="n">
        <x:v>45967</x:v>
      </x:c>
      <x:c r="D497" s="5" t="n">
        <x:v>45960</x:v>
      </x:c>
      <x:c r="E497" s="1" t="str">
        <x:v>Production</x:v>
      </x:c>
      <x:c r="F497" s="1" t="str">
        <x:v>Workbook</x:v>
      </x:c>
      <x:c r="G497" s="1" t="str">
        <x:v>High</x:v>
      </x:c>
      <x:c r="H497" s="1" t="str">
        <x:v>AI-Assisted</x:v>
      </x:c>
      <x:c r="I497" s="1" t="str">
        <x:v>Few-shot v2</x:v>
      </x:c>
      <x:c r="J497" s="1" t="n">
        <x:v>158</x:v>
      </x:c>
      <x:c r="K497" s="6" t="n">
        <x:v>56.6</x:v>
      </x:c>
      <x:c r="L497" s="6" t="n">
        <x:v>90.6</x:v>
      </x:c>
      <x:c r="M497" s="6" t="n">
        <x:v>34</x:v>
      </x:c>
      <x:c r="N497" s="6" t="n">
        <x:v>60631.82</x:v>
      </x:c>
      <x:c r="O497" s="6" t="n">
        <x:v>97099.85</x:v>
      </x:c>
      <x:c r="P497" s="6" t="n">
        <x:v>36468.03</x:v>
      </x:c>
      <x:c r="Q497" s="1" t="n">
        <x:v>0</x:v>
      </x:c>
      <x:c r="R497" s="1" t="str">
        <x:v>Yes</x:v>
      </x:c>
      <x:c r="S497" s="7" t="n">
        <x:v>87.1</x:v>
      </x:c>
      <x:c r="T497" s="1" t="str">
        <x:v>Yes</x:v>
      </x:c>
      <x:c r="U497" s="1" t="str">
        <x:v>Completed</x:v>
      </x:c>
    </x:row>
    <x:row r="498">
      <x:c r="A498" s="1" t="str">
        <x:v>PUB-0497</x:v>
      </x:c>
      <x:c r="B498" s="5" t="n">
        <x:v>46057</x:v>
      </x:c>
      <x:c r="C498" s="5" t="n">
        <x:v>46066</x:v>
      </x:c>
      <x:c r="D498" s="5" t="n">
        <x:v>46061</x:v>
      </x:c>
      <x:c r="E498" s="1" t="str">
        <x:v>Digital Learning</x:v>
      </x:c>
      <x:c r="F498" s="1" t="str">
        <x:v>Illustration</x:v>
      </x:c>
      <x:c r="G498" s="1" t="str">
        <x:v>High</x:v>
      </x:c>
      <x:c r="H498" s="1" t="str">
        <x:v>AI-Assisted</x:v>
      </x:c>
      <x:c r="I498" s="1" t="str">
        <x:v>Editorial QA</x:v>
      </x:c>
      <x:c r="J498" s="1" t="n">
        <x:v>64</x:v>
      </x:c>
      <x:c r="K498" s="6" t="n">
        <x:v>29</x:v>
      </x:c>
      <x:c r="L498" s="6" t="n">
        <x:v>46.1</x:v>
      </x:c>
      <x:c r="M498" s="6" t="n">
        <x:v>17.1</x:v>
      </x:c>
      <x:c r="N498" s="6" t="n">
        <x:v>22945.63</x:v>
      </x:c>
      <x:c r="O498" s="6" t="n">
        <x:v>36482.7</x:v>
      </x:c>
      <x:c r="P498" s="6" t="n">
        <x:v>13537.07</x:v>
      </x:c>
      <x:c r="Q498" s="1" t="n">
        <x:v>0</x:v>
      </x:c>
      <x:c r="R498" s="1" t="str">
        <x:v>Yes</x:v>
      </x:c>
      <x:c r="S498" s="7" t="n">
        <x:v>87.6</x:v>
      </x:c>
      <x:c r="T498" s="1" t="str">
        <x:v>Yes</x:v>
      </x:c>
      <x:c r="U498" s="1" t="str">
        <x:v>Completed</x:v>
      </x:c>
    </x:row>
    <x:row r="499">
      <x:c r="A499" s="1" t="str">
        <x:v>PUB-0498</x:v>
      </x:c>
      <x:c r="B499" s="5" t="n">
        <x:v>45761</x:v>
      </x:c>
      <x:c r="C499" s="5" t="n">
        <x:v>45775</x:v>
      </x:c>
      <x:c r="D499" s="5" t="n">
        <x:v>45765</x:v>
      </x:c>
      <x:c r="E499" s="1" t="str">
        <x:v>Digital Learning</x:v>
      </x:c>
      <x:c r="F499" s="1" t="str">
        <x:v>E-book</x:v>
      </x:c>
      <x:c r="G499" s="1" t="str">
        <x:v>Low</x:v>
      </x:c>
      <x:c r="H499" s="1" t="str">
        <x:v>AI-Assisted</x:v>
      </x:c>
      <x:c r="I499" s="1" t="str">
        <x:v>Structured v3</x:v>
      </x:c>
      <x:c r="J499" s="1" t="n">
        <x:v>150</x:v>
      </x:c>
      <x:c r="K499" s="6" t="n">
        <x:v>31</x:v>
      </x:c>
      <x:c r="L499" s="6" t="n">
        <x:v>44.8</x:v>
      </x:c>
      <x:c r="M499" s="6" t="n">
        <x:v>13.8</x:v>
      </x:c>
      <x:c r="N499" s="6" t="n">
        <x:v>25684.18</x:v>
      </x:c>
      <x:c r="O499" s="6" t="n">
        <x:v>37093.44</x:v>
      </x:c>
      <x:c r="P499" s="6" t="n">
        <x:v>11409.26</x:v>
      </x:c>
      <x:c r="Q499" s="1" t="n">
        <x:v>0</x:v>
      </x:c>
      <x:c r="R499" s="1" t="str">
        <x:v>Yes</x:v>
      </x:c>
      <x:c r="S499" s="7" t="n">
        <x:v>86.5</x:v>
      </x:c>
      <x:c r="T499" s="1" t="str">
        <x:v>Yes</x:v>
      </x:c>
      <x:c r="U499" s="1" t="str">
        <x:v>Completed</x:v>
      </x:c>
    </x:row>
    <x:row r="500">
      <x:c r="A500" s="1" t="str">
        <x:v>PUB-0499</x:v>
      </x:c>
      <x:c r="B500" s="5" t="n">
        <x:v>45723</x:v>
      </x:c>
      <x:c r="C500" s="5" t="n">
        <x:v>45736</x:v>
      </x:c>
      <x:c r="D500" s="5" t="n">
        <x:v>45727</x:v>
      </x:c>
      <x:c r="E500" s="1" t="str">
        <x:v>Design</x:v>
      </x:c>
      <x:c r="F500" s="1" t="str">
        <x:v>School Textbook</x:v>
      </x:c>
      <x:c r="G500" s="1" t="str">
        <x:v>Low</x:v>
      </x:c>
      <x:c r="H500" s="1" t="str">
        <x:v>AI-Assisted</x:v>
      </x:c>
      <x:c r="I500" s="1" t="str">
        <x:v>Few-shot v2</x:v>
      </x:c>
      <x:c r="J500" s="1" t="n">
        <x:v>132</x:v>
      </x:c>
      <x:c r="K500" s="6" t="n">
        <x:v>26.6</x:v>
      </x:c>
      <x:c r="L500" s="6" t="n">
        <x:v>47.1</x:v>
      </x:c>
      <x:c r="M500" s="6" t="n">
        <x:v>20.5</x:v>
      </x:c>
      <x:c r="N500" s="6" t="n">
        <x:v>17910.8</x:v>
      </x:c>
      <x:c r="O500" s="6" t="n">
        <x:v>31694.35</x:v>
      </x:c>
      <x:c r="P500" s="6" t="n">
        <x:v>13783.55</x:v>
      </x:c>
      <x:c r="Q500" s="1" t="n">
        <x:v>0</x:v>
      </x:c>
      <x:c r="R500" s="1" t="str">
        <x:v>Yes</x:v>
      </x:c>
      <x:c r="S500" s="7" t="n">
        <x:v>88.7</x:v>
      </x:c>
      <x:c r="T500" s="1" t="str">
        <x:v>Yes</x:v>
      </x:c>
      <x:c r="U500" s="1" t="str">
        <x:v>Completed</x:v>
      </x:c>
    </x:row>
    <x:row r="501">
      <x:c r="A501" s="1" t="str">
        <x:v>PUB-0500</x:v>
      </x:c>
      <x:c r="B501" s="5" t="n">
        <x:v>45764</x:v>
      </x:c>
      <x:c r="C501" s="5" t="n">
        <x:v>45780</x:v>
      </x:c>
      <x:c r="D501" s="5" t="n">
        <x:v>45769</x:v>
      </x:c>
      <x:c r="E501" s="1" t="str">
        <x:v>Production</x:v>
      </x:c>
      <x:c r="F501" s="1" t="str">
        <x:v>E-book</x:v>
      </x:c>
      <x:c r="G501" s="1" t="str">
        <x:v>Low</x:v>
      </x:c>
      <x:c r="H501" s="1" t="str">
        <x:v>AI-Assisted</x:v>
      </x:c>
      <x:c r="I501" s="1" t="str">
        <x:v>Few-shot v2</x:v>
      </x:c>
      <x:c r="J501" s="1" t="n">
        <x:v>201</x:v>
      </x:c>
      <x:c r="K501" s="6" t="n">
        <x:v>39.6</x:v>
      </x:c>
      <x:c r="L501" s="6" t="n">
        <x:v>63.2</x:v>
      </x:c>
      <x:c r="M501" s="6" t="n">
        <x:v>23.6</x:v>
      </x:c>
      <x:c r="N501" s="6" t="n">
        <x:v>41226.69</x:v>
      </x:c>
      <x:c r="O501" s="6" t="n">
        <x:v>65769.99</x:v>
      </x:c>
      <x:c r="P501" s="6" t="n">
        <x:v>24543.3</x:v>
      </x:c>
      <x:c r="Q501" s="1" t="n">
        <x:v>0</x:v>
      </x:c>
      <x:c r="R501" s="1" t="str">
        <x:v>Yes</x:v>
      </x:c>
      <x:c r="S501" s="7" t="n">
        <x:v>92.1</x:v>
      </x:c>
      <x:c r="T501" s="1" t="str">
        <x:v>Yes</x:v>
      </x:c>
      <x:c r="U501" s="1" t="str">
        <x:v>Completed</x:v>
      </x:c>
    </x:row>
    <x:row r="502">
      <x:c r="A502" s="1" t="str">
        <x:v>PUB-0501</x:v>
      </x:c>
      <x:c r="B502" s="5" t="n">
        <x:v>45765</x:v>
      </x:c>
      <x:c r="C502" s="5" t="n">
        <x:v>45785</x:v>
      </x:c>
      <x:c r="D502" s="5" t="n">
        <x:v>45774</x:v>
      </x:c>
      <x:c r="E502" s="1" t="str">
        <x:v>Editorial</x:v>
      </x:c>
      <x:c r="F502" s="1" t="str">
        <x:v>School Textbook</x:v>
      </x:c>
      <x:c r="G502" s="1" t="str">
        <x:v>Medium</x:v>
      </x:c>
      <x:c r="H502" s="1" t="str">
        <x:v>AI-Assisted</x:v>
      </x:c>
      <x:c r="I502" s="1" t="str">
        <x:v>Few-shot v2</x:v>
      </x:c>
      <x:c r="J502" s="1" t="n">
        <x:v>194</x:v>
      </x:c>
      <x:c r="K502" s="6" t="n">
        <x:v>53.3</x:v>
      </x:c>
      <x:c r="L502" s="6" t="n">
        <x:v>88.7</x:v>
      </x:c>
      <x:c r="M502" s="6" t="n">
        <x:v>35.4</x:v>
      </x:c>
      <x:c r="N502" s="6" t="n">
        <x:v>54167.51</x:v>
      </x:c>
      <x:c r="O502" s="6" t="n">
        <x:v>90127.4</x:v>
      </x:c>
      <x:c r="P502" s="6" t="n">
        <x:v>35959.89</x:v>
      </x:c>
      <x:c r="Q502" s="1" t="n">
        <x:v>2</x:v>
      </x:c>
      <x:c r="R502" s="1" t="str">
        <x:v>No</x:v>
      </x:c>
      <x:c r="S502" s="7" t="n">
        <x:v>84.3</x:v>
      </x:c>
      <x:c r="T502" s="1" t="str">
        <x:v>Yes</x:v>
      </x:c>
      <x:c r="U502" s="1" t="str">
        <x:v>Completed</x:v>
      </x:c>
    </x:row>
    <x:row r="503">
      <x:c r="A503" s="1" t="str">
        <x:v>PUB-0502</x:v>
      </x:c>
      <x:c r="B503" s="5" t="n">
        <x:v>46083</x:v>
      </x:c>
      <x:c r="C503" s="5" t="n">
        <x:v>46095</x:v>
      </x:c>
      <x:c r="D503" s="5" t="n">
        <x:v>46090</x:v>
      </x:c>
      <x:c r="E503" s="1" t="str">
        <x:v>Production</x:v>
      </x:c>
      <x:c r="F503" s="1" t="str">
        <x:v>School Textbook</x:v>
      </x:c>
      <x:c r="G503" s="1" t="str">
        <x:v>Medium</x:v>
      </x:c>
      <x:c r="H503" s="1" t="str">
        <x:v>Manual</x:v>
      </x:c>
      <x:c r="I503" s="1" t="str">
        <x:v>Manual / NA</x:v>
      </x:c>
      <x:c r="J503" s="1" t="n">
        <x:v>129</x:v>
      </x:c>
      <x:c r="K503" s="6" t="n">
        <x:v>54.5</x:v>
      </x:c>
      <x:c r="L503" s="6" t="n">
        <x:v>60.8</x:v>
      </x:c>
      <x:c r="M503" s="6" t="n">
        <x:v>6.3</x:v>
      </x:c>
      <x:c r="N503" s="6" t="n">
        <x:v>45573.89</x:v>
      </x:c>
      <x:c r="O503" s="6" t="n">
        <x:v>50819.11</x:v>
      </x:c>
      <x:c r="P503" s="6" t="n">
        <x:v>5245.22</x:v>
      </x:c>
      <x:c r="Q503" s="1" t="n">
        <x:v>0</x:v>
      </x:c>
      <x:c r="R503" s="1" t="str">
        <x:v>Yes</x:v>
      </x:c>
      <x:c r="S503" s="7" t="n">
        <x:v>87.6</x:v>
      </x:c>
      <x:c r="T503" s="1" t="str">
        <x:v>Yes</x:v>
      </x:c>
      <x:c r="U503" s="1" t="str">
        <x:v>Completed</x:v>
      </x:c>
    </x:row>
    <x:row r="504">
      <x:c r="A504" s="1" t="str">
        <x:v>PUB-0503</x:v>
      </x:c>
      <x:c r="B504" s="5" t="n">
        <x:v>45813</x:v>
      </x:c>
      <x:c r="C504" s="5" t="n">
        <x:v>45817</x:v>
      </x:c>
      <x:c r="D504" s="5" t="n">
        <x:v>45815</x:v>
      </x:c>
      <x:c r="E504" s="1" t="str">
        <x:v>Production</x:v>
      </x:c>
      <x:c r="F504" s="1" t="str">
        <x:v>Assessment</x:v>
      </x:c>
      <x:c r="G504" s="1" t="str">
        <x:v>High</x:v>
      </x:c>
      <x:c r="H504" s="1" t="str">
        <x:v>Manual</x:v>
      </x:c>
      <x:c r="I504" s="1" t="str">
        <x:v>Manual / NA</x:v>
      </x:c>
      <x:c r="J504" s="1" t="n">
        <x:v>21</x:v>
      </x:c>
      <x:c r="K504" s="6" t="n">
        <x:v>12</x:v>
      </x:c>
      <x:c r="L504" s="6" t="n">
        <x:v>12.5</x:v>
      </x:c>
      <x:c r="M504" s="6" t="n">
        <x:v>0.5</x:v>
      </x:c>
      <x:c r="N504" s="6" t="n">
        <x:v>10552.52</x:v>
      </x:c>
      <x:c r="O504" s="6" t="n">
        <x:v>10992.5</x:v>
      </x:c>
      <x:c r="P504" s="6" t="n">
        <x:v>439.98</x:v>
      </x:c>
      <x:c r="Q504" s="1" t="n">
        <x:v>0</x:v>
      </x:c>
      <x:c r="R504" s="1" t="str">
        <x:v>Yes</x:v>
      </x:c>
      <x:c r="S504" s="7" t="n">
        <x:v>86.4</x:v>
      </x:c>
      <x:c r="T504" s="1" t="str">
        <x:v>Yes</x:v>
      </x:c>
      <x:c r="U504" s="1" t="str">
        <x:v>Completed</x:v>
      </x:c>
    </x:row>
    <x:row r="505">
      <x:c r="A505" s="1" t="str">
        <x:v>PUB-0504</x:v>
      </x:c>
      <x:c r="B505" s="5" t="n">
        <x:v>45668</x:v>
      </x:c>
      <x:c r="C505" s="5" t="n">
        <x:v>45679</x:v>
      </x:c>
      <x:c r="D505" s="5" t="str"/>
      <x:c r="E505" s="1" t="str">
        <x:v>Production</x:v>
      </x:c>
      <x:c r="F505" s="1" t="str">
        <x:v>Assessment</x:v>
      </x:c>
      <x:c r="G505" s="1" t="str">
        <x:v>High</x:v>
      </x:c>
      <x:c r="H505" s="1" t="str">
        <x:v>AI-Assisted</x:v>
      </x:c>
      <x:c r="I505" s="1" t="str">
        <x:v>Structured v3</x:v>
      </x:c>
      <x:c r="J505" s="1" t="n">
        <x:v>55</x:v>
      </x:c>
      <x:c r="K505" s="6" t="n">
        <x:v>14.2</x:v>
      </x:c>
      <x:c r="L505" s="6" t="n">
        <x:v>28.8</x:v>
      </x:c>
      <x:c r="M505" s="6" t="n">
        <x:v>14.6</x:v>
      </x:c>
      <x:c r="N505" s="6" t="n">
        <x:v>14620.27</x:v>
      </x:c>
      <x:c r="O505" s="6" t="n">
        <x:v>29611.8</x:v>
      </x:c>
      <x:c r="P505" s="6" t="n">
        <x:v>14991.53</x:v>
      </x:c>
      <x:c r="Q505" s="1" t="n">
        <x:v>0</x:v>
      </x:c>
      <x:c r="R505" s="1" t="str"/>
      <x:c r="S505" s="7" t="n">
        <x:v>84</x:v>
      </x:c>
      <x:c r="T505" s="1" t="str"/>
      <x:c r="U505" s="1" t="str">
        <x:v>In Review</x:v>
      </x:c>
    </x:row>
    <x:row r="506">
      <x:c r="A506" s="1" t="str">
        <x:v>PUB-0505</x:v>
      </x:c>
      <x:c r="B506" s="5" t="n">
        <x:v>45717</x:v>
      </x:c>
      <x:c r="C506" s="5" t="n">
        <x:v>45732</x:v>
      </x:c>
      <x:c r="D506" s="5" t="n">
        <x:v>45729</x:v>
      </x:c>
      <x:c r="E506" s="1" t="str">
        <x:v>Digital Learning</x:v>
      </x:c>
      <x:c r="F506" s="1" t="str">
        <x:v>E-book</x:v>
      </x:c>
      <x:c r="G506" s="1" t="str">
        <x:v>High</x:v>
      </x:c>
      <x:c r="H506" s="1" t="str">
        <x:v>Manual</x:v>
      </x:c>
      <x:c r="I506" s="1" t="str">
        <x:v>Manual / NA</x:v>
      </x:c>
      <x:c r="J506" s="1" t="n">
        <x:v>141</x:v>
      </x:c>
      <x:c r="K506" s="6" t="n">
        <x:v>89</x:v>
      </x:c>
      <x:c r="L506" s="6" t="n">
        <x:v>84.2</x:v>
      </x:c>
      <x:c r="M506" s="6" t="n">
        <x:v>0</x:v>
      </x:c>
      <x:c r="N506" s="6" t="n">
        <x:v>89035.17</x:v>
      </x:c>
      <x:c r="O506" s="6" t="n">
        <x:v>84205.51</x:v>
      </x:c>
      <x:c r="P506" s="6" t="n">
        <x:v>0</x:v>
      </x:c>
      <x:c r="Q506" s="1" t="n">
        <x:v>0</x:v>
      </x:c>
      <x:c r="R506" s="1" t="str">
        <x:v>Yes</x:v>
      </x:c>
      <x:c r="S506" s="7" t="n">
        <x:v>84.2</x:v>
      </x:c>
      <x:c r="T506" s="1" t="str">
        <x:v>Yes</x:v>
      </x:c>
      <x:c r="U506" s="1" t="str">
        <x:v>Completed</x:v>
      </x:c>
    </x:row>
    <x:row r="507">
      <x:c r="A507" s="1" t="str">
        <x:v>PUB-0506</x:v>
      </x:c>
      <x:c r="B507" s="5" t="n">
        <x:v>46198</x:v>
      </x:c>
      <x:c r="C507" s="5" t="n">
        <x:v>46215</x:v>
      </x:c>
      <x:c r="D507" s="5" t="n">
        <x:v>46204</x:v>
      </x:c>
      <x:c r="E507" s="1" t="str">
        <x:v>Production</x:v>
      </x:c>
      <x:c r="F507" s="1" t="str">
        <x:v>School Textbook</x:v>
      </x:c>
      <x:c r="G507" s="1" t="str">
        <x:v>Medium</x:v>
      </x:c>
      <x:c r="H507" s="1" t="str">
        <x:v>AI-Assisted</x:v>
      </x:c>
      <x:c r="I507" s="1" t="str">
        <x:v>Editorial QA</x:v>
      </x:c>
      <x:c r="J507" s="1" t="n">
        <x:v>147</x:v>
      </x:c>
      <x:c r="K507" s="6" t="n">
        <x:v>42.7</x:v>
      </x:c>
      <x:c r="L507" s="6" t="n">
        <x:v>72.9</x:v>
      </x:c>
      <x:c r="M507" s="6" t="n">
        <x:v>30.2</x:v>
      </x:c>
      <x:c r="N507" s="6" t="n">
        <x:v>35126.1</x:v>
      </x:c>
      <x:c r="O507" s="6" t="n">
        <x:v>59979.41</x:v>
      </x:c>
      <x:c r="P507" s="6" t="n">
        <x:v>24853.31</x:v>
      </x:c>
      <x:c r="Q507" s="1" t="n">
        <x:v>0</x:v>
      </x:c>
      <x:c r="R507" s="1" t="str">
        <x:v>Yes</x:v>
      </x:c>
      <x:c r="S507" s="7" t="n">
        <x:v>84.3</x:v>
      </x:c>
      <x:c r="T507" s="1" t="str">
        <x:v>Yes</x:v>
      </x:c>
      <x:c r="U507" s="1" t="str">
        <x:v>Completed</x:v>
      </x:c>
    </x:row>
    <x:row r="508">
      <x:c r="A508" s="1" t="str">
        <x:v>PUB-0507</x:v>
      </x:c>
      <x:c r="B508" s="5" t="n">
        <x:v>45966</x:v>
      </x:c>
      <x:c r="C508" s="5" t="n">
        <x:v>45970</x:v>
      </x:c>
      <x:c r="D508" s="5" t="str"/>
      <x:c r="E508" s="1" t="str">
        <x:v>Editorial</x:v>
      </x:c>
      <x:c r="F508" s="1" t="str">
        <x:v>Assessment</x:v>
      </x:c>
      <x:c r="G508" s="1" t="str">
        <x:v>Medium</x:v>
      </x:c>
      <x:c r="H508" s="1" t="str">
        <x:v>AI-Assisted</x:v>
      </x:c>
      <x:c r="I508" s="1" t="str">
        <x:v>Editorial QA</x:v>
      </x:c>
      <x:c r="J508" s="1" t="n">
        <x:v>20</x:v>
      </x:c>
      <x:c r="K508" s="6" t="n">
        <x:v>5.1</x:v>
      </x:c>
      <x:c r="L508" s="6" t="n">
        <x:v>9.6</x:v>
      </x:c>
      <x:c r="M508" s="6" t="n">
        <x:v>4.5</x:v>
      </x:c>
      <x:c r="N508" s="6" t="n">
        <x:v>4619.76</x:v>
      </x:c>
      <x:c r="O508" s="6" t="n">
        <x:v>8677.43</x:v>
      </x:c>
      <x:c r="P508" s="6" t="n">
        <x:v>4057.67</x:v>
      </x:c>
      <x:c r="Q508" s="1" t="n">
        <x:v>0</x:v>
      </x:c>
      <x:c r="R508" s="1" t="str"/>
      <x:c r="S508" s="7" t="n">
        <x:v>84.8</x:v>
      </x:c>
      <x:c r="T508" s="1" t="str"/>
      <x:c r="U508" s="1" t="str">
        <x:v>In Review</x:v>
      </x:c>
    </x:row>
    <x:row r="509">
      <x:c r="A509" s="1" t="str">
        <x:v>PUB-0508</x:v>
      </x:c>
      <x:c r="B509" s="5" t="n">
        <x:v>45922</x:v>
      </x:c>
      <x:c r="C509" s="5" t="n">
        <x:v>45927</x:v>
      </x:c>
      <x:c r="D509" s="5" t="str"/>
      <x:c r="E509" s="1" t="str">
        <x:v>Editorial</x:v>
      </x:c>
      <x:c r="F509" s="1" t="str">
        <x:v>Illustration</x:v>
      </x:c>
      <x:c r="G509" s="1" t="str">
        <x:v>Low</x:v>
      </x:c>
      <x:c r="H509" s="1" t="str">
        <x:v>Manual</x:v>
      </x:c>
      <x:c r="I509" s="1" t="str">
        <x:v>Manual / NA</x:v>
      </x:c>
      <x:c r="J509" s="1" t="n">
        <x:v>68</x:v>
      </x:c>
      <x:c r="K509" s="6" t="n">
        <x:v>19.9</x:v>
      </x:c>
      <x:c r="L509" s="6" t="n">
        <x:v>20.8</x:v>
      </x:c>
      <x:c r="M509" s="6" t="n">
        <x:v>0.9</x:v>
      </x:c>
      <x:c r="N509" s="6" t="n">
        <x:v>19173.55</x:v>
      </x:c>
      <x:c r="O509" s="6" t="n">
        <x:v>20049.33</x:v>
      </x:c>
      <x:c r="P509" s="6" t="n">
        <x:v>875.78</x:v>
      </x:c>
      <x:c r="Q509" s="1" t="n">
        <x:v>0</x:v>
      </x:c>
      <x:c r="R509" s="1" t="str"/>
      <x:c r="S509" s="7" t="n">
        <x:v>91.6</x:v>
      </x:c>
      <x:c r="T509" s="1" t="str"/>
      <x:c r="U509" s="1" t="str">
        <x:v>In Review</x:v>
      </x:c>
    </x:row>
    <x:row r="510">
      <x:c r="A510" s="1" t="str">
        <x:v>PUB-0509</x:v>
      </x:c>
      <x:c r="B510" s="5" t="n">
        <x:v>46117</x:v>
      </x:c>
      <x:c r="C510" s="5" t="n">
        <x:v>46122</x:v>
      </x:c>
      <x:c r="D510" s="5" t="n">
        <x:v>46118</x:v>
      </x:c>
      <x:c r="E510" s="1" t="str">
        <x:v>Editorial</x:v>
      </x:c>
      <x:c r="F510" s="1" t="str">
        <x:v>Illustration</x:v>
      </x:c>
      <x:c r="G510" s="1" t="str">
        <x:v>Medium</x:v>
      </x:c>
      <x:c r="H510" s="1" t="str">
        <x:v>AI-Assisted</x:v>
      </x:c>
      <x:c r="I510" s="1" t="str">
        <x:v>Visual Brief</x:v>
      </x:c>
      <x:c r="J510" s="1" t="n">
        <x:v>33</x:v>
      </x:c>
      <x:c r="K510" s="6" t="n">
        <x:v>9.3</x:v>
      </x:c>
      <x:c r="L510" s="6" t="n">
        <x:v>13.9</x:v>
      </x:c>
      <x:c r="M510" s="6" t="n">
        <x:v>4.6</x:v>
      </x:c>
      <x:c r="N510" s="6" t="n">
        <x:v>9369.07</x:v>
      </x:c>
      <x:c r="O510" s="6" t="n">
        <x:v>14049.31</x:v>
      </x:c>
      <x:c r="P510" s="6" t="n">
        <x:v>4680.24</x:v>
      </x:c>
      <x:c r="Q510" s="1" t="n">
        <x:v>0</x:v>
      </x:c>
      <x:c r="R510" s="1" t="str">
        <x:v>Yes</x:v>
      </x:c>
      <x:c r="S510" s="7" t="n">
        <x:v>87.5</x:v>
      </x:c>
      <x:c r="T510" s="1" t="str">
        <x:v>Yes</x:v>
      </x:c>
      <x:c r="U510" s="1" t="str">
        <x:v>Completed</x:v>
      </x:c>
    </x:row>
    <x:row r="511">
      <x:c r="A511" s="1" t="str">
        <x:v>PUB-0510</x:v>
      </x:c>
      <x:c r="B511" s="5" t="n">
        <x:v>45855</x:v>
      </x:c>
      <x:c r="C511" s="5" t="n">
        <x:v>45868</x:v>
      </x:c>
      <x:c r="D511" s="5" t="n">
        <x:v>45861</x:v>
      </x:c>
      <x:c r="E511" s="1" t="str">
        <x:v>Digital Learning</x:v>
      </x:c>
      <x:c r="F511" s="1" t="str">
        <x:v>Workbook</x:v>
      </x:c>
      <x:c r="G511" s="1" t="str">
        <x:v>Medium</x:v>
      </x:c>
      <x:c r="H511" s="1" t="str">
        <x:v>AI-Assisted</x:v>
      </x:c>
      <x:c r="I511" s="1" t="str">
        <x:v>Editorial QA</x:v>
      </x:c>
      <x:c r="J511" s="1" t="n">
        <x:v>220</x:v>
      </x:c>
      <x:c r="K511" s="6" t="n">
        <x:v>48.7</x:v>
      </x:c>
      <x:c r="L511" s="6" t="n">
        <x:v>83.7</x:v>
      </x:c>
      <x:c r="M511" s="6" t="n">
        <x:v>35</x:v>
      </x:c>
      <x:c r="N511" s="6" t="n">
        <x:v>34822.04</x:v>
      </x:c>
      <x:c r="O511" s="6" t="n">
        <x:v>59823</x:v>
      </x:c>
      <x:c r="P511" s="6" t="n">
        <x:v>25000.96</x:v>
      </x:c>
      <x:c r="Q511" s="1" t="n">
        <x:v>0</x:v>
      </x:c>
      <x:c r="R511" s="1" t="str">
        <x:v>Yes</x:v>
      </x:c>
      <x:c r="S511" s="7" t="n">
        <x:v>82.5</x:v>
      </x:c>
      <x:c r="T511" s="1" t="str">
        <x:v>Yes</x:v>
      </x:c>
      <x:c r="U511" s="1" t="str">
        <x:v>Completed</x:v>
      </x:c>
    </x:row>
    <x:row r="512">
      <x:c r="A512" s="1" t="str">
        <x:v>PUB-0511</x:v>
      </x:c>
      <x:c r="B512" s="5" t="n">
        <x:v>46070</x:v>
      </x:c>
      <x:c r="C512" s="5" t="n">
        <x:v>46081</x:v>
      </x:c>
      <x:c r="D512" s="5" t="n">
        <x:v>46073</x:v>
      </x:c>
      <x:c r="E512" s="1" t="str">
        <x:v>Production</x:v>
      </x:c>
      <x:c r="F512" s="1" t="str">
        <x:v>Assessment</x:v>
      </x:c>
      <x:c r="G512" s="1" t="str">
        <x:v>Medium</x:v>
      </x:c>
      <x:c r="H512" s="1" t="str">
        <x:v>AI-Assisted</x:v>
      </x:c>
      <x:c r="I512" s="1" t="str">
        <x:v>Structured v3</x:v>
      </x:c>
      <x:c r="J512" s="1" t="n">
        <x:v>67</x:v>
      </x:c>
      <x:c r="K512" s="6" t="n">
        <x:v>25</x:v>
      </x:c>
      <x:c r="L512" s="6" t="n">
        <x:v>38.8</x:v>
      </x:c>
      <x:c r="M512" s="6" t="n">
        <x:v>13.8</x:v>
      </x:c>
      <x:c r="N512" s="6" t="n">
        <x:v>28097.75</x:v>
      </x:c>
      <x:c r="O512" s="6" t="n">
        <x:v>43617.36</x:v>
      </x:c>
      <x:c r="P512" s="6" t="n">
        <x:v>15519.61</x:v>
      </x:c>
      <x:c r="Q512" s="1" t="n">
        <x:v>0</x:v>
      </x:c>
      <x:c r="R512" s="1" t="str">
        <x:v>Yes</x:v>
      </x:c>
      <x:c r="S512" s="7" t="n">
        <x:v>86.2</x:v>
      </x:c>
      <x:c r="T512" s="1" t="str">
        <x:v>Yes</x:v>
      </x:c>
      <x:c r="U512" s="1" t="str">
        <x:v>Completed</x:v>
      </x:c>
    </x:row>
    <x:row r="513">
      <x:c r="A513" s="1" t="str">
        <x:v>PUB-0512</x:v>
      </x:c>
      <x:c r="B513" s="5" t="n">
        <x:v>46126</x:v>
      </x:c>
      <x:c r="C513" s="5" t="n">
        <x:v>46130</x:v>
      </x:c>
      <x:c r="D513" s="5" t="n">
        <x:v>46127</x:v>
      </x:c>
      <x:c r="E513" s="1" t="str">
        <x:v>Editorial</x:v>
      </x:c>
      <x:c r="F513" s="1" t="str">
        <x:v>Illustration</x:v>
      </x:c>
      <x:c r="G513" s="1" t="str">
        <x:v>Medium</x:v>
      </x:c>
      <x:c r="H513" s="1" t="str">
        <x:v>Manual</x:v>
      </x:c>
      <x:c r="I513" s="1" t="str">
        <x:v>Manual / NA</x:v>
      </x:c>
      <x:c r="J513" s="1" t="n">
        <x:v>19</x:v>
      </x:c>
      <x:c r="K513" s="6" t="n">
        <x:v>7.8</x:v>
      </x:c>
      <x:c r="L513" s="6" t="n">
        <x:v>8.7</x:v>
      </x:c>
      <x:c r="M513" s="6" t="n">
        <x:v>0.9</x:v>
      </x:c>
      <x:c r="N513" s="6" t="n">
        <x:v>5681.67</x:v>
      </x:c>
      <x:c r="O513" s="6" t="n">
        <x:v>6369.09</x:v>
      </x:c>
      <x:c r="P513" s="6" t="n">
        <x:v>687.42</x:v>
      </x:c>
      <x:c r="Q513" s="1" t="n">
        <x:v>0</x:v>
      </x:c>
      <x:c r="R513" s="1" t="str">
        <x:v>Yes</x:v>
      </x:c>
      <x:c r="S513" s="7" t="n">
        <x:v>86.6</x:v>
      </x:c>
      <x:c r="T513" s="1" t="str">
        <x:v>Yes</x:v>
      </x:c>
      <x:c r="U513" s="1" t="str">
        <x:v>Completed</x:v>
      </x:c>
    </x:row>
    <x:row r="514">
      <x:c r="A514" s="1" t="str">
        <x:v>PUB-0513</x:v>
      </x:c>
      <x:c r="B514" s="5" t="n">
        <x:v>45770</x:v>
      </x:c>
      <x:c r="C514" s="5" t="n">
        <x:v>45777</x:v>
      </x:c>
      <x:c r="D514" s="5" t="n">
        <x:v>45772</x:v>
      </x:c>
      <x:c r="E514" s="1" t="str">
        <x:v>Editorial</x:v>
      </x:c>
      <x:c r="F514" s="1" t="str">
        <x:v>Assessment</x:v>
      </x:c>
      <x:c r="G514" s="1" t="str">
        <x:v>Medium</x:v>
      </x:c>
      <x:c r="H514" s="1" t="str">
        <x:v>AI-Assisted</x:v>
      </x:c>
      <x:c r="I514" s="1" t="str">
        <x:v>Structured v3</x:v>
      </x:c>
      <x:c r="J514" s="1" t="n">
        <x:v>51</x:v>
      </x:c>
      <x:c r="K514" s="6" t="n">
        <x:v>12.4</x:v>
      </x:c>
      <x:c r="L514" s="6" t="n">
        <x:v>22.6</x:v>
      </x:c>
      <x:c r="M514" s="6" t="n">
        <x:v>10.2</x:v>
      </x:c>
      <x:c r="N514" s="6" t="n">
        <x:v>8233.46</x:v>
      </x:c>
      <x:c r="O514" s="6" t="n">
        <x:v>14980.54</x:v>
      </x:c>
      <x:c r="P514" s="6" t="n">
        <x:v>6747.08</x:v>
      </x:c>
      <x:c r="Q514" s="1" t="n">
        <x:v>0</x:v>
      </x:c>
      <x:c r="R514" s="1" t="str">
        <x:v>Yes</x:v>
      </x:c>
      <x:c r="S514" s="7" t="n">
        <x:v>90.2</x:v>
      </x:c>
      <x:c r="T514" s="1" t="str">
        <x:v>Yes</x:v>
      </x:c>
      <x:c r="U514" s="1" t="str">
        <x:v>Completed</x:v>
      </x:c>
    </x:row>
    <x:row r="515">
      <x:c r="A515" s="1" t="str">
        <x:v>PUB-0514</x:v>
      </x:c>
      <x:c r="B515" s="5" t="n">
        <x:v>46158</x:v>
      </x:c>
      <x:c r="C515" s="5" t="n">
        <x:v>46169</x:v>
      </x:c>
      <x:c r="D515" s="5" t="n">
        <x:v>46161</x:v>
      </x:c>
      <x:c r="E515" s="1" t="str">
        <x:v>Editorial</x:v>
      </x:c>
      <x:c r="F515" s="1" t="str">
        <x:v>Assessment</x:v>
      </x:c>
      <x:c r="G515" s="1" t="str">
        <x:v>Medium</x:v>
      </x:c>
      <x:c r="H515" s="1" t="str">
        <x:v>AI-Assisted</x:v>
      </x:c>
      <x:c r="I515" s="1" t="str">
        <x:v>Structured v3</x:v>
      </x:c>
      <x:c r="J515" s="1" t="n">
        <x:v>65</x:v>
      </x:c>
      <x:c r="K515" s="6" t="n">
        <x:v>21.9</x:v>
      </x:c>
      <x:c r="L515" s="6" t="n">
        <x:v>31.5</x:v>
      </x:c>
      <x:c r="M515" s="6" t="n">
        <x:v>9.6</x:v>
      </x:c>
      <x:c r="N515" s="6" t="n">
        <x:v>22790.78</x:v>
      </x:c>
      <x:c r="O515" s="6" t="n">
        <x:v>32771.29</x:v>
      </x:c>
      <x:c r="P515" s="6" t="n">
        <x:v>9980.51</x:v>
      </x:c>
      <x:c r="Q515" s="1" t="n">
        <x:v>0</x:v>
      </x:c>
      <x:c r="R515" s="1" t="str">
        <x:v>Yes</x:v>
      </x:c>
      <x:c r="S515" s="7" t="n">
        <x:v>83.4</x:v>
      </x:c>
      <x:c r="T515" s="1" t="str">
        <x:v>Yes</x:v>
      </x:c>
      <x:c r="U515" s="1" t="str">
        <x:v>Completed</x:v>
      </x:c>
    </x:row>
    <x:row r="516">
      <x:c r="A516" s="1" t="str">
        <x:v>PUB-0515</x:v>
      </x:c>
      <x:c r="B516" s="5" t="n">
        <x:v>45799</x:v>
      </x:c>
      <x:c r="C516" s="5" t="n">
        <x:v>45820</x:v>
      </x:c>
      <x:c r="D516" s="5" t="n">
        <x:v>45808</x:v>
      </x:c>
      <x:c r="E516" s="1" t="str">
        <x:v>Design</x:v>
      </x:c>
      <x:c r="F516" s="1" t="str">
        <x:v>Workbook</x:v>
      </x:c>
      <x:c r="G516" s="1" t="str">
        <x:v>Medium</x:v>
      </x:c>
      <x:c r="H516" s="1" t="str">
        <x:v>AI-Assisted</x:v>
      </x:c>
      <x:c r="I516" s="1" t="str">
        <x:v>Few-shot v2</x:v>
      </x:c>
      <x:c r="J516" s="1" t="n">
        <x:v>194</x:v>
      </x:c>
      <x:c r="K516" s="6" t="n">
        <x:v>66.5</x:v>
      </x:c>
      <x:c r="L516" s="6" t="n">
        <x:v>104</x:v>
      </x:c>
      <x:c r="M516" s="6" t="n">
        <x:v>37.5</x:v>
      </x:c>
      <x:c r="N516" s="6" t="n">
        <x:v>56845.14</x:v>
      </x:c>
      <x:c r="O516" s="6" t="n">
        <x:v>88880.12</x:v>
      </x:c>
      <x:c r="P516" s="6" t="n">
        <x:v>32034.98</x:v>
      </x:c>
      <x:c r="Q516" s="1" t="n">
        <x:v>0</x:v>
      </x:c>
      <x:c r="R516" s="1" t="str">
        <x:v>Yes</x:v>
      </x:c>
      <x:c r="S516" s="7" t="n">
        <x:v>83.6</x:v>
      </x:c>
      <x:c r="T516" s="1" t="str">
        <x:v>Yes</x:v>
      </x:c>
      <x:c r="U516" s="1" t="str">
        <x:v>Completed</x:v>
      </x:c>
    </x:row>
    <x:row r="517">
      <x:c r="A517" s="1" t="str">
        <x:v>PUB-0516</x:v>
      </x:c>
      <x:c r="B517" s="5" t="n">
        <x:v>45748</x:v>
      </x:c>
      <x:c r="C517" s="5" t="n">
        <x:v>45756</x:v>
      </x:c>
      <x:c r="D517" s="5" t="str"/>
      <x:c r="E517" s="1" t="str">
        <x:v>Digital Learning</x:v>
      </x:c>
      <x:c r="F517" s="1" t="str">
        <x:v>Illustration</x:v>
      </x:c>
      <x:c r="G517" s="1" t="str">
        <x:v>Medium</x:v>
      </x:c>
      <x:c r="H517" s="1" t="str">
        <x:v>AI-Assisted</x:v>
      </x:c>
      <x:c r="I517" s="1" t="str">
        <x:v>Editorial QA</x:v>
      </x:c>
      <x:c r="J517" s="1" t="n">
        <x:v>43</x:v>
      </x:c>
      <x:c r="K517" s="6" t="n">
        <x:v>10.2</x:v>
      </x:c>
      <x:c r="L517" s="6" t="n">
        <x:v>16.7</x:v>
      </x:c>
      <x:c r="M517" s="6" t="n">
        <x:v>6.5</x:v>
      </x:c>
      <x:c r="N517" s="6" t="n">
        <x:v>7611.38</x:v>
      </x:c>
      <x:c r="O517" s="6" t="n">
        <x:v>12425.18</x:v>
      </x:c>
      <x:c r="P517" s="6" t="n">
        <x:v>4813.8</x:v>
      </x:c>
      <x:c r="Q517" s="1" t="n">
        <x:v>0</x:v>
      </x:c>
      <x:c r="R517" s="1" t="str"/>
      <x:c r="S517" s="7" t="n">
        <x:v>93.2</x:v>
      </x:c>
      <x:c r="T517" s="1" t="str"/>
      <x:c r="U517" s="1" t="str">
        <x:v>In Progress</x:v>
      </x:c>
    </x:row>
    <x:row r="518">
      <x:c r="A518" s="1" t="str">
        <x:v>PUB-0517</x:v>
      </x:c>
      <x:c r="B518" s="5" t="n">
        <x:v>46192</x:v>
      </x:c>
      <x:c r="C518" s="5" t="n">
        <x:v>46196</x:v>
      </x:c>
      <x:c r="D518" s="5" t="n">
        <x:v>46201</x:v>
      </x:c>
      <x:c r="E518" s="1" t="str">
        <x:v>Editorial</x:v>
      </x:c>
      <x:c r="F518" s="1" t="str">
        <x:v>Workbook</x:v>
      </x:c>
      <x:c r="G518" s="1" t="str">
        <x:v>Medium</x:v>
      </x:c>
      <x:c r="H518" s="1" t="str">
        <x:v>Manual</x:v>
      </x:c>
      <x:c r="I518" s="1" t="str">
        <x:v>Manual / NA</x:v>
      </x:c>
      <x:c r="J518" s="1" t="n">
        <x:v>38</x:v>
      </x:c>
      <x:c r="K518" s="6" t="n">
        <x:v>19.4</x:v>
      </x:c>
      <x:c r="L518" s="6" t="n">
        <x:v>18.1</x:v>
      </x:c>
      <x:c r="M518" s="6" t="n">
        <x:v>0</x:v>
      </x:c>
      <x:c r="N518" s="6" t="n">
        <x:v>15277.14</x:v>
      </x:c>
      <x:c r="O518" s="6" t="n">
        <x:v>14274.16</x:v>
      </x:c>
      <x:c r="P518" s="6" t="n">
        <x:v>0</x:v>
      </x:c>
      <x:c r="Q518" s="1" t="n">
        <x:v>2</x:v>
      </x:c>
      <x:c r="R518" s="1" t="str">
        <x:v>No</x:v>
      </x:c>
      <x:c r="S518" s="7" t="n">
        <x:v>85.6</x:v>
      </x:c>
      <x:c r="T518" s="1" t="str">
        <x:v>No</x:v>
      </x:c>
      <x:c r="U518" s="1" t="str">
        <x:v>Completed</x:v>
      </x:c>
    </x:row>
    <x:row r="519">
      <x:c r="A519" s="1" t="str">
        <x:v>PUB-0518</x:v>
      </x:c>
      <x:c r="B519" s="5" t="n">
        <x:v>46069</x:v>
      </x:c>
      <x:c r="C519" s="5" t="n">
        <x:v>46074</x:v>
      </x:c>
      <x:c r="D519" s="5" t="n">
        <x:v>46075</x:v>
      </x:c>
      <x:c r="E519" s="1" t="str">
        <x:v>Production</x:v>
      </x:c>
      <x:c r="F519" s="1" t="str">
        <x:v>Assessment</x:v>
      </x:c>
      <x:c r="G519" s="1" t="str">
        <x:v>Medium</x:v>
      </x:c>
      <x:c r="H519" s="1" t="str">
        <x:v>Manual</x:v>
      </x:c>
      <x:c r="I519" s="1" t="str">
        <x:v>Manual / NA</x:v>
      </x:c>
      <x:c r="J519" s="1" t="n">
        <x:v>47</x:v>
      </x:c>
      <x:c r="K519" s="6" t="n">
        <x:v>22.3</x:v>
      </x:c>
      <x:c r="L519" s="6" t="n">
        <x:v>21.2</x:v>
      </x:c>
      <x:c r="M519" s="6" t="n">
        <x:v>0</x:v>
      </x:c>
      <x:c r="N519" s="6" t="n">
        <x:v>18033.81</x:v>
      </x:c>
      <x:c r="O519" s="6" t="n">
        <x:v>17152.7</x:v>
      </x:c>
      <x:c r="P519" s="6" t="n">
        <x:v>0</x:v>
      </x:c>
      <x:c r="Q519" s="1" t="n">
        <x:v>1</x:v>
      </x:c>
      <x:c r="R519" s="1" t="str">
        <x:v>No</x:v>
      </x:c>
      <x:c r="S519" s="7" t="n">
        <x:v>77.3</x:v>
      </x:c>
      <x:c r="T519" s="1" t="str">
        <x:v>No</x:v>
      </x:c>
      <x:c r="U519" s="1" t="str">
        <x:v>Completed</x:v>
      </x:c>
    </x:row>
    <x:row r="520">
      <x:c r="A520" s="1" t="str">
        <x:v>PUB-0519</x:v>
      </x:c>
      <x:c r="B520" s="5" t="n">
        <x:v>45805</x:v>
      </x:c>
      <x:c r="C520" s="5" t="n">
        <x:v>45811</x:v>
      </x:c>
      <x:c r="D520" s="5" t="n">
        <x:v>45806</x:v>
      </x:c>
      <x:c r="E520" s="1" t="str">
        <x:v>Editorial</x:v>
      </x:c>
      <x:c r="F520" s="1" t="str">
        <x:v>Illustration</x:v>
      </x:c>
      <x:c r="G520" s="1" t="str">
        <x:v>Low</x:v>
      </x:c>
      <x:c r="H520" s="1" t="str">
        <x:v>AI-Assisted</x:v>
      </x:c>
      <x:c r="I520" s="1" t="str">
        <x:v>Visual Brief</x:v>
      </x:c>
      <x:c r="J520" s="1" t="n">
        <x:v>25</x:v>
      </x:c>
      <x:c r="K520" s="6" t="n">
        <x:v>6.1</x:v>
      </x:c>
      <x:c r="L520" s="6" t="n">
        <x:v>11.7</x:v>
      </x:c>
      <x:c r="M520" s="6" t="n">
        <x:v>5.6</x:v>
      </x:c>
      <x:c r="N520" s="6" t="n">
        <x:v>6140.57</x:v>
      </x:c>
      <x:c r="O520" s="6" t="n">
        <x:v>11792.57</x:v>
      </x:c>
      <x:c r="P520" s="6" t="n">
        <x:v>5652</x:v>
      </x:c>
      <x:c r="Q520" s="1" t="n">
        <x:v>0</x:v>
      </x:c>
      <x:c r="R520" s="1" t="str">
        <x:v>Yes</x:v>
      </x:c>
      <x:c r="S520" s="7" t="n">
        <x:v>91.5</x:v>
      </x:c>
      <x:c r="T520" s="1" t="str">
        <x:v>Yes</x:v>
      </x:c>
      <x:c r="U520" s="1" t="str">
        <x:v>Completed</x:v>
      </x:c>
    </x:row>
    <x:row r="521">
      <x:c r="A521" s="1" t="str">
        <x:v>PUB-0520</x:v>
      </x:c>
      <x:c r="B521" s="5" t="n">
        <x:v>45781</x:v>
      </x:c>
      <x:c r="C521" s="5" t="n">
        <x:v>45794</x:v>
      </x:c>
      <x:c r="D521" s="5" t="n">
        <x:v>45785</x:v>
      </x:c>
      <x:c r="E521" s="1" t="str">
        <x:v>Editorial</x:v>
      </x:c>
      <x:c r="F521" s="1" t="str">
        <x:v>School Textbook</x:v>
      </x:c>
      <x:c r="G521" s="1" t="str">
        <x:v>Medium</x:v>
      </x:c>
      <x:c r="H521" s="1" t="str">
        <x:v>AI-Assisted</x:v>
      </x:c>
      <x:c r="I521" s="1" t="str">
        <x:v>Structured v3</x:v>
      </x:c>
      <x:c r="J521" s="1" t="n">
        <x:v>138</x:v>
      </x:c>
      <x:c r="K521" s="6" t="n">
        <x:v>31.2</x:v>
      </x:c>
      <x:c r="L521" s="6" t="n">
        <x:v>61.4</x:v>
      </x:c>
      <x:c r="M521" s="6" t="n">
        <x:v>30.2</x:v>
      </x:c>
      <x:c r="N521" s="6" t="n">
        <x:v>21225.86</x:v>
      </x:c>
      <x:c r="O521" s="6" t="n">
        <x:v>41751.05</x:v>
      </x:c>
      <x:c r="P521" s="6" t="n">
        <x:v>20525.19</x:v>
      </x:c>
      <x:c r="Q521" s="1" t="n">
        <x:v>0</x:v>
      </x:c>
      <x:c r="R521" s="1" t="str">
        <x:v>Yes</x:v>
      </x:c>
      <x:c r="S521" s="7" t="n">
        <x:v>90.8</x:v>
      </x:c>
      <x:c r="T521" s="1" t="str">
        <x:v>Yes</x:v>
      </x:c>
      <x:c r="U521" s="1" t="str">
        <x:v>Completed</x:v>
      </x:c>
    </x:row>
    <x:row r="522">
      <x:c r="A522" s="1" t="str">
        <x:v>PUB-0521</x:v>
      </x:c>
      <x:c r="B522" s="5" t="n">
        <x:v>46075</x:v>
      </x:c>
      <x:c r="C522" s="5" t="n">
        <x:v>46091</x:v>
      </x:c>
      <x:c r="D522" s="5" t="n">
        <x:v>46080</x:v>
      </x:c>
      <x:c r="E522" s="1" t="str">
        <x:v>Production</x:v>
      </x:c>
      <x:c r="F522" s="1" t="str">
        <x:v>E-book</x:v>
      </x:c>
      <x:c r="G522" s="1" t="str">
        <x:v>Medium</x:v>
      </x:c>
      <x:c r="H522" s="1" t="str">
        <x:v>AI-Assisted</x:v>
      </x:c>
      <x:c r="I522" s="1" t="str">
        <x:v>Few-shot v2</x:v>
      </x:c>
      <x:c r="J522" s="1" t="n">
        <x:v>158</x:v>
      </x:c>
      <x:c r="K522" s="6" t="n">
        <x:v>40.1</x:v>
      </x:c>
      <x:c r="L522" s="6" t="n">
        <x:v>65.4</x:v>
      </x:c>
      <x:c r="M522" s="6" t="n">
        <x:v>25.3</x:v>
      </x:c>
      <x:c r="N522" s="6" t="n">
        <x:v>41808.54</x:v>
      </x:c>
      <x:c r="O522" s="6" t="n">
        <x:v>68230.24</x:v>
      </x:c>
      <x:c r="P522" s="6" t="n">
        <x:v>26421.7</x:v>
      </x:c>
      <x:c r="Q522" s="1" t="n">
        <x:v>0</x:v>
      </x:c>
      <x:c r="R522" s="1" t="str">
        <x:v>Yes</x:v>
      </x:c>
      <x:c r="S522" s="7" t="n">
        <x:v>87.1</x:v>
      </x:c>
      <x:c r="T522" s="1" t="str">
        <x:v>Yes</x:v>
      </x:c>
      <x:c r="U522" s="1" t="str">
        <x:v>Completed</x:v>
      </x:c>
    </x:row>
    <x:row r="523">
      <x:c r="A523" s="1" t="str">
        <x:v>PUB-0522</x:v>
      </x:c>
      <x:c r="B523" s="5" t="n">
        <x:v>45803</x:v>
      </x:c>
      <x:c r="C523" s="5" t="n">
        <x:v>45826</x:v>
      </x:c>
      <x:c r="D523" s="5" t="n">
        <x:v>45817</x:v>
      </x:c>
      <x:c r="E523" s="1" t="str">
        <x:v>Design</x:v>
      </x:c>
      <x:c r="F523" s="1" t="str">
        <x:v>E-book</x:v>
      </x:c>
      <x:c r="G523" s="1" t="str">
        <x:v>High</x:v>
      </x:c>
      <x:c r="H523" s="1" t="str">
        <x:v>Manual</x:v>
      </x:c>
      <x:c r="I523" s="1" t="str">
        <x:v>Manual / NA</x:v>
      </x:c>
      <x:c r="J523" s="1" t="n">
        <x:v>145</x:v>
      </x:c>
      <x:c r="K523" s="6" t="n">
        <x:v>108.4</x:v>
      </x:c>
      <x:c r="L523" s="6" t="n">
        <x:v>109.4</x:v>
      </x:c>
      <x:c r="M523" s="6" t="n">
        <x:v>1</x:v>
      </x:c>
      <x:c r="N523" s="6" t="n">
        <x:v>72725.13</x:v>
      </x:c>
      <x:c r="O523" s="6" t="n">
        <x:v>73385.7</x:v>
      </x:c>
      <x:c r="P523" s="6" t="n">
        <x:v>660.57</x:v>
      </x:c>
      <x:c r="Q523" s="1" t="n">
        <x:v>0</x:v>
      </x:c>
      <x:c r="R523" s="1" t="str">
        <x:v>Yes</x:v>
      </x:c>
      <x:c r="S523" s="7" t="n">
        <x:v>86.3</x:v>
      </x:c>
      <x:c r="T523" s="1" t="str">
        <x:v>Yes</x:v>
      </x:c>
      <x:c r="U523" s="1" t="str">
        <x:v>Completed</x:v>
      </x:c>
    </x:row>
    <x:row r="524">
      <x:c r="A524" s="1" t="str">
        <x:v>PUB-0523</x:v>
      </x:c>
      <x:c r="B524" s="5" t="n">
        <x:v>45829</x:v>
      </x:c>
      <x:c r="C524" s="5" t="n">
        <x:v>45846</x:v>
      </x:c>
      <x:c r="D524" s="5" t="n">
        <x:v>45836</x:v>
      </x:c>
      <x:c r="E524" s="1" t="str">
        <x:v>Editorial</x:v>
      </x:c>
      <x:c r="F524" s="1" t="str">
        <x:v>E-book</x:v>
      </x:c>
      <x:c r="G524" s="1" t="str">
        <x:v>Medium</x:v>
      </x:c>
      <x:c r="H524" s="1" t="str">
        <x:v>AI-Assisted</x:v>
      </x:c>
      <x:c r="I524" s="1" t="str">
        <x:v>Editorial QA</x:v>
      </x:c>
      <x:c r="J524" s="1" t="n">
        <x:v>182</x:v>
      </x:c>
      <x:c r="K524" s="6" t="n">
        <x:v>50.3</x:v>
      </x:c>
      <x:c r="L524" s="6" t="n">
        <x:v>79.6</x:v>
      </x:c>
      <x:c r="M524" s="6" t="n">
        <x:v>29.3</x:v>
      </x:c>
      <x:c r="N524" s="6" t="n">
        <x:v>47411.75</x:v>
      </x:c>
      <x:c r="O524" s="6" t="n">
        <x:v>75020.64</x:v>
      </x:c>
      <x:c r="P524" s="6" t="n">
        <x:v>27608.89</x:v>
      </x:c>
      <x:c r="Q524" s="1" t="n">
        <x:v>0</x:v>
      </x:c>
      <x:c r="R524" s="1" t="str">
        <x:v>Yes</x:v>
      </x:c>
      <x:c r="S524" s="7" t="n">
        <x:v>97.7</x:v>
      </x:c>
      <x:c r="T524" s="1" t="str">
        <x:v>Yes</x:v>
      </x:c>
      <x:c r="U524" s="1" t="str">
        <x:v>Completed</x:v>
      </x:c>
    </x:row>
    <x:row r="525">
      <x:c r="A525" s="1" t="str">
        <x:v>PUB-0524</x:v>
      </x:c>
      <x:c r="B525" s="5" t="n">
        <x:v>46062</x:v>
      </x:c>
      <x:c r="C525" s="5" t="n">
        <x:v>46069</x:v>
      </x:c>
      <x:c r="D525" s="5" t="n">
        <x:v>46065</x:v>
      </x:c>
      <x:c r="E525" s="1" t="str">
        <x:v>Production</x:v>
      </x:c>
      <x:c r="F525" s="1" t="str">
        <x:v>Illustration</x:v>
      </x:c>
      <x:c r="G525" s="1" t="str">
        <x:v>High</x:v>
      </x:c>
      <x:c r="H525" s="1" t="str">
        <x:v>Manual</x:v>
      </x:c>
      <x:c r="I525" s="1" t="str">
        <x:v>Manual / NA</x:v>
      </x:c>
      <x:c r="J525" s="1" t="n">
        <x:v>39</x:v>
      </x:c>
      <x:c r="K525" s="6" t="n">
        <x:v>20.5</x:v>
      </x:c>
      <x:c r="L525" s="6" t="n">
        <x:v>20.9</x:v>
      </x:c>
      <x:c r="M525" s="6" t="n">
        <x:v>0.4</x:v>
      </x:c>
      <x:c r="N525" s="6" t="n">
        <x:v>21546.08</x:v>
      </x:c>
      <x:c r="O525" s="6" t="n">
        <x:v>21988.36</x:v>
      </x:c>
      <x:c r="P525" s="6" t="n">
        <x:v>442.28</x:v>
      </x:c>
      <x:c r="Q525" s="1" t="n">
        <x:v>0</x:v>
      </x:c>
      <x:c r="R525" s="1" t="str">
        <x:v>Yes</x:v>
      </x:c>
      <x:c r="S525" s="7" t="n">
        <x:v>87.5</x:v>
      </x:c>
      <x:c r="T525" s="1" t="str">
        <x:v>Yes</x:v>
      </x:c>
      <x:c r="U525" s="1" t="str">
        <x:v>Completed</x:v>
      </x:c>
    </x:row>
    <x:row r="526">
      <x:c r="A526" s="1" t="str">
        <x:v>PUB-0525</x:v>
      </x:c>
      <x:c r="B526" s="5" t="n">
        <x:v>46121</x:v>
      </x:c>
      <x:c r="C526" s="5" t="n">
        <x:v>46129</x:v>
      </x:c>
      <x:c r="D526" s="5" t="str"/>
      <x:c r="E526" s="1" t="str">
        <x:v>Editorial</x:v>
      </x:c>
      <x:c r="F526" s="1" t="str">
        <x:v>Illustration</x:v>
      </x:c>
      <x:c r="G526" s="1" t="str">
        <x:v>Low</x:v>
      </x:c>
      <x:c r="H526" s="1" t="str">
        <x:v>AI-Assisted</x:v>
      </x:c>
      <x:c r="I526" s="1" t="str">
        <x:v>Structured v3</x:v>
      </x:c>
      <x:c r="J526" s="1" t="n">
        <x:v>46</x:v>
      </x:c>
      <x:c r="K526" s="6" t="n">
        <x:v>12.3</x:v>
      </x:c>
      <x:c r="L526" s="6" t="n">
        <x:v>19.3</x:v>
      </x:c>
      <x:c r="M526" s="6" t="n">
        <x:v>7</x:v>
      </x:c>
      <x:c r="N526" s="6" t="n">
        <x:v>8007.59</x:v>
      </x:c>
      <x:c r="O526" s="6" t="n">
        <x:v>12578.04</x:v>
      </x:c>
      <x:c r="P526" s="6" t="n">
        <x:v>4570.45</x:v>
      </x:c>
      <x:c r="Q526" s="1" t="n">
        <x:v>0</x:v>
      </x:c>
      <x:c r="R526" s="1" t="str"/>
      <x:c r="S526" s="7" t="n">
        <x:v>95.7</x:v>
      </x:c>
      <x:c r="T526" s="1" t="str"/>
      <x:c r="U526" s="1" t="str">
        <x:v>In Review</x:v>
      </x:c>
    </x:row>
    <x:row r="527">
      <x:c r="A527" s="1" t="str">
        <x:v>PUB-0526</x:v>
      </x:c>
      <x:c r="B527" s="5" t="n">
        <x:v>46158</x:v>
      </x:c>
      <x:c r="C527" s="5" t="n">
        <x:v>46165</x:v>
      </x:c>
      <x:c r="D527" s="5" t="n">
        <x:v>46168</x:v>
      </x:c>
      <x:c r="E527" s="1" t="str">
        <x:v>Production</x:v>
      </x:c>
      <x:c r="F527" s="1" t="str">
        <x:v>Assessment</x:v>
      </x:c>
      <x:c r="G527" s="1" t="str">
        <x:v>Medium</x:v>
      </x:c>
      <x:c r="H527" s="1" t="str">
        <x:v>Manual</x:v>
      </x:c>
      <x:c r="I527" s="1" t="str">
        <x:v>Manual / NA</x:v>
      </x:c>
      <x:c r="J527" s="1" t="n">
        <x:v>13</x:v>
      </x:c>
      <x:c r="K527" s="6" t="n">
        <x:v>7.5</x:v>
      </x:c>
      <x:c r="L527" s="6" t="n">
        <x:v>7.2</x:v>
      </x:c>
      <x:c r="M527" s="6" t="n">
        <x:v>0</x:v>
      </x:c>
      <x:c r="N527" s="6" t="n">
        <x:v>6544.41</x:v>
      </x:c>
      <x:c r="O527" s="6" t="n">
        <x:v>6311.22</x:v>
      </x:c>
      <x:c r="P527" s="6" t="n">
        <x:v>0</x:v>
      </x:c>
      <x:c r="Q527" s="1" t="n">
        <x:v>3</x:v>
      </x:c>
      <x:c r="R527" s="1" t="str">
        <x:v>No</x:v>
      </x:c>
      <x:c r="S527" s="7" t="n">
        <x:v>75.4</x:v>
      </x:c>
      <x:c r="T527" s="1" t="str">
        <x:v>No</x:v>
      </x:c>
      <x:c r="U527" s="1" t="str">
        <x:v>Completed</x:v>
      </x:c>
    </x:row>
    <x:row r="528">
      <x:c r="A528" s="1" t="str">
        <x:v>PUB-0527</x:v>
      </x:c>
      <x:c r="B528" s="5" t="n">
        <x:v>45839</x:v>
      </x:c>
      <x:c r="C528" s="5" t="n">
        <x:v>45843</x:v>
      </x:c>
      <x:c r="D528" s="5" t="n">
        <x:v>45843</x:v>
      </x:c>
      <x:c r="E528" s="1" t="str">
        <x:v>Digital Learning</x:v>
      </x:c>
      <x:c r="F528" s="1" t="str">
        <x:v>Illustration</x:v>
      </x:c>
      <x:c r="G528" s="1" t="str">
        <x:v>Medium</x:v>
      </x:c>
      <x:c r="H528" s="1" t="str">
        <x:v>Manual</x:v>
      </x:c>
      <x:c r="I528" s="1" t="str">
        <x:v>Manual / NA</x:v>
      </x:c>
      <x:c r="J528" s="1" t="n">
        <x:v>19</x:v>
      </x:c>
      <x:c r="K528" s="6" t="n">
        <x:v>10.4</x:v>
      </x:c>
      <x:c r="L528" s="6" t="n">
        <x:v>10.8</x:v>
      </x:c>
      <x:c r="M528" s="6" t="n">
        <x:v>0.4</x:v>
      </x:c>
      <x:c r="N528" s="6" t="n">
        <x:v>7911.91</x:v>
      </x:c>
      <x:c r="O528" s="6" t="n">
        <x:v>8180.85</x:v>
      </x:c>
      <x:c r="P528" s="6" t="n">
        <x:v>268.94</x:v>
      </x:c>
      <x:c r="Q528" s="1" t="n">
        <x:v>1</x:v>
      </x:c>
      <x:c r="R528" s="1" t="str">
        <x:v>No</x:v>
      </x:c>
      <x:c r="S528" s="7" t="n">
        <x:v>88</x:v>
      </x:c>
      <x:c r="T528" s="1" t="str">
        <x:v>Yes</x:v>
      </x:c>
      <x:c r="U528" s="1" t="str">
        <x:v>Completed</x:v>
      </x:c>
    </x:row>
    <x:row r="529">
      <x:c r="A529" s="1" t="str">
        <x:v>PUB-0528</x:v>
      </x:c>
      <x:c r="B529" s="5" t="n">
        <x:v>45884</x:v>
      </x:c>
      <x:c r="C529" s="5" t="n">
        <x:v>45892</x:v>
      </x:c>
      <x:c r="D529" s="5" t="n">
        <x:v>45885</x:v>
      </x:c>
      <x:c r="E529" s="1" t="str">
        <x:v>Editorial</x:v>
      </x:c>
      <x:c r="F529" s="1" t="str">
        <x:v>Assessment</x:v>
      </x:c>
      <x:c r="G529" s="1" t="str">
        <x:v>Low</x:v>
      </x:c>
      <x:c r="H529" s="1" t="str">
        <x:v>AI-Assisted</x:v>
      </x:c>
      <x:c r="I529" s="1" t="str">
        <x:v>Structured v3</x:v>
      </x:c>
      <x:c r="J529" s="1" t="n">
        <x:v>30</x:v>
      </x:c>
      <x:c r="K529" s="6" t="n">
        <x:v>9</x:v>
      </x:c>
      <x:c r="L529" s="6" t="n">
        <x:v>14.2</x:v>
      </x:c>
      <x:c r="M529" s="6" t="n">
        <x:v>5.2</x:v>
      </x:c>
      <x:c r="N529" s="6" t="n">
        <x:v>6349.26</x:v>
      </x:c>
      <x:c r="O529" s="6" t="n">
        <x:v>10005.61</x:v>
      </x:c>
      <x:c r="P529" s="6" t="n">
        <x:v>3656.35</x:v>
      </x:c>
      <x:c r="Q529" s="1" t="n">
        <x:v>0</x:v>
      </x:c>
      <x:c r="R529" s="1" t="str">
        <x:v>Yes</x:v>
      </x:c>
      <x:c r="S529" s="7" t="n">
        <x:v>86.5</x:v>
      </x:c>
      <x:c r="T529" s="1" t="str">
        <x:v>Yes</x:v>
      </x:c>
      <x:c r="U529" s="1" t="str">
        <x:v>Completed</x:v>
      </x:c>
    </x:row>
    <x:row r="530">
      <x:c r="A530" s="1" t="str">
        <x:v>PUB-0529</x:v>
      </x:c>
      <x:c r="B530" s="5" t="n">
        <x:v>45856</x:v>
      </x:c>
      <x:c r="C530" s="5" t="n">
        <x:v>45862</x:v>
      </x:c>
      <x:c r="D530" s="5" t="n">
        <x:v>45857</x:v>
      </x:c>
      <x:c r="E530" s="1" t="str">
        <x:v>Production</x:v>
      </x:c>
      <x:c r="F530" s="1" t="str">
        <x:v>Assessment</x:v>
      </x:c>
      <x:c r="G530" s="1" t="str">
        <x:v>Medium</x:v>
      </x:c>
      <x:c r="H530" s="1" t="str">
        <x:v>AI-Assisted</x:v>
      </x:c>
      <x:c r="I530" s="1" t="str">
        <x:v>Few-shot v2</x:v>
      </x:c>
      <x:c r="J530" s="1" t="n">
        <x:v>12</x:v>
      </x:c>
      <x:c r="K530" s="6" t="n">
        <x:v>3.2</x:v>
      </x:c>
      <x:c r="L530" s="6" t="n">
        <x:v>6.3</x:v>
      </x:c>
      <x:c r="M530" s="6" t="n">
        <x:v>3.1</x:v>
      </x:c>
      <x:c r="N530" s="6" t="n">
        <x:v>3573.7</x:v>
      </x:c>
      <x:c r="O530" s="6" t="n">
        <x:v>7023.85</x:v>
      </x:c>
      <x:c r="P530" s="6" t="n">
        <x:v>3450.15</x:v>
      </x:c>
      <x:c r="Q530" s="1" t="n">
        <x:v>0</x:v>
      </x:c>
      <x:c r="R530" s="1" t="str">
        <x:v>Yes</x:v>
      </x:c>
      <x:c r="S530" s="7" t="n">
        <x:v>95.5</x:v>
      </x:c>
      <x:c r="T530" s="1" t="str">
        <x:v>Yes</x:v>
      </x:c>
      <x:c r="U530" s="1" t="str">
        <x:v>Completed</x:v>
      </x:c>
    </x:row>
    <x:row r="531">
      <x:c r="A531" s="1" t="str">
        <x:v>PUB-0530</x:v>
      </x:c>
      <x:c r="B531" s="5" t="n">
        <x:v>45681</x:v>
      </x:c>
      <x:c r="C531" s="5" t="n">
        <x:v>45688</x:v>
      </x:c>
      <x:c r="D531" s="5" t="n">
        <x:v>45683</x:v>
      </x:c>
      <x:c r="E531" s="1" t="str">
        <x:v>Digital Learning</x:v>
      </x:c>
      <x:c r="F531" s="1" t="str">
        <x:v>Illustration</x:v>
      </x:c>
      <x:c r="G531" s="1" t="str">
        <x:v>Low</x:v>
      </x:c>
      <x:c r="H531" s="1" t="str">
        <x:v>AI-Assisted</x:v>
      </x:c>
      <x:c r="I531" s="1" t="str">
        <x:v>Structured v3</x:v>
      </x:c>
      <x:c r="J531" s="1" t="n">
        <x:v>62</x:v>
      </x:c>
      <x:c r="K531" s="6" t="n">
        <x:v>14.8</x:v>
      </x:c>
      <x:c r="L531" s="6" t="n">
        <x:v>23.1</x:v>
      </x:c>
      <x:c r="M531" s="6" t="n">
        <x:v>8.3</x:v>
      </x:c>
      <x:c r="N531" s="6" t="n">
        <x:v>14430.22</x:v>
      </x:c>
      <x:c r="O531" s="6" t="n">
        <x:v>22502.95</x:v>
      </x:c>
      <x:c r="P531" s="6" t="n">
        <x:v>8072.73</x:v>
      </x:c>
      <x:c r="Q531" s="1" t="n">
        <x:v>0</x:v>
      </x:c>
      <x:c r="R531" s="1" t="str">
        <x:v>Yes</x:v>
      </x:c>
      <x:c r="S531" s="7" t="n">
        <x:v>83</x:v>
      </x:c>
      <x:c r="T531" s="1" t="str">
        <x:v>Yes</x:v>
      </x:c>
      <x:c r="U531" s="1" t="str">
        <x:v>Completed</x:v>
      </x:c>
    </x:row>
    <x:row r="532">
      <x:c r="A532" s="1" t="str">
        <x:v>PUB-0531</x:v>
      </x:c>
      <x:c r="B532" s="5" t="n">
        <x:v>46074</x:v>
      </x:c>
      <x:c r="C532" s="5" t="n">
        <x:v>46078</x:v>
      </x:c>
      <x:c r="D532" s="5" t="n">
        <x:v>46075</x:v>
      </x:c>
      <x:c r="E532" s="1" t="str">
        <x:v>Editorial</x:v>
      </x:c>
      <x:c r="F532" s="1" t="str">
        <x:v>Illustration</x:v>
      </x:c>
      <x:c r="G532" s="1" t="str">
        <x:v>High</x:v>
      </x:c>
      <x:c r="H532" s="1" t="str">
        <x:v>AI-Assisted</x:v>
      </x:c>
      <x:c r="I532" s="1" t="str">
        <x:v>Few-shot v2</x:v>
      </x:c>
      <x:c r="J532" s="1" t="n">
        <x:v>9</x:v>
      </x:c>
      <x:c r="K532" s="6" t="n">
        <x:v>2.7</x:v>
      </x:c>
      <x:c r="L532" s="6" t="n">
        <x:v>4.9</x:v>
      </x:c>
      <x:c r="M532" s="6" t="n">
        <x:v>2.2</x:v>
      </x:c>
      <x:c r="N532" s="6" t="n">
        <x:v>2322.08</x:v>
      </x:c>
      <x:c r="O532" s="6" t="n">
        <x:v>4182.92</x:v>
      </x:c>
      <x:c r="P532" s="6" t="n">
        <x:v>1860.84</x:v>
      </x:c>
      <x:c r="Q532" s="1" t="n">
        <x:v>0</x:v>
      </x:c>
      <x:c r="R532" s="1" t="str">
        <x:v>Yes</x:v>
      </x:c>
      <x:c r="S532" s="7" t="n">
        <x:v>92.6</x:v>
      </x:c>
      <x:c r="T532" s="1" t="str">
        <x:v>Yes</x:v>
      </x:c>
      <x:c r="U532" s="1" t="str">
        <x:v>Completed</x:v>
      </x:c>
    </x:row>
    <x:row r="533">
      <x:c r="A533" s="1" t="str">
        <x:v>PUB-0532</x:v>
      </x:c>
      <x:c r="B533" s="5" t="n">
        <x:v>45889</x:v>
      </x:c>
      <x:c r="C533" s="5" t="n">
        <x:v>45893</x:v>
      </x:c>
      <x:c r="D533" s="5" t="n">
        <x:v>45891</x:v>
      </x:c>
      <x:c r="E533" s="1" t="str">
        <x:v>Digital Learning</x:v>
      </x:c>
      <x:c r="F533" s="1" t="str">
        <x:v>Workbook</x:v>
      </x:c>
      <x:c r="G533" s="1" t="str">
        <x:v>Medium</x:v>
      </x:c>
      <x:c r="H533" s="1" t="str">
        <x:v>AI-Assisted</x:v>
      </x:c>
      <x:c r="I533" s="1" t="str">
        <x:v>Structured v3</x:v>
      </x:c>
      <x:c r="J533" s="1" t="n">
        <x:v>50</x:v>
      </x:c>
      <x:c r="K533" s="6" t="n">
        <x:v>11.8</x:v>
      </x:c>
      <x:c r="L533" s="6" t="n">
        <x:v>18.7</x:v>
      </x:c>
      <x:c r="M533" s="6" t="n">
        <x:v>6.9</x:v>
      </x:c>
      <x:c r="N533" s="6" t="n">
        <x:v>7834.45</x:v>
      </x:c>
      <x:c r="O533" s="6" t="n">
        <x:v>12409.82</x:v>
      </x:c>
      <x:c r="P533" s="6" t="n">
        <x:v>4575.37</x:v>
      </x:c>
      <x:c r="Q533" s="1" t="n">
        <x:v>0</x:v>
      </x:c>
      <x:c r="R533" s="1" t="str">
        <x:v>Yes</x:v>
      </x:c>
      <x:c r="S533" s="7" t="n">
        <x:v>89.1</x:v>
      </x:c>
      <x:c r="T533" s="1" t="str">
        <x:v>Yes</x:v>
      </x:c>
      <x:c r="U533" s="1" t="str">
        <x:v>Completed</x:v>
      </x:c>
    </x:row>
    <x:row r="534">
      <x:c r="A534" s="1" t="str">
        <x:v>PUB-0533</x:v>
      </x:c>
      <x:c r="B534" s="5" t="n">
        <x:v>46000</x:v>
      </x:c>
      <x:c r="C534" s="5" t="n">
        <x:v>46007</x:v>
      </x:c>
      <x:c r="D534" s="5" t="n">
        <x:v>46001</x:v>
      </x:c>
      <x:c r="E534" s="1" t="str">
        <x:v>Digital Learning</x:v>
      </x:c>
      <x:c r="F534" s="1" t="str">
        <x:v>Workbook</x:v>
      </x:c>
      <x:c r="G534" s="1" t="str">
        <x:v>High</x:v>
      </x:c>
      <x:c r="H534" s="1" t="str">
        <x:v>AI-Assisted</x:v>
      </x:c>
      <x:c r="I534" s="1" t="str">
        <x:v>Visual Brief</x:v>
      </x:c>
      <x:c r="J534" s="1" t="n">
        <x:v>21</x:v>
      </x:c>
      <x:c r="K534" s="6" t="n">
        <x:v>7.1</x:v>
      </x:c>
      <x:c r="L534" s="6" t="n">
        <x:v>13.1</x:v>
      </x:c>
      <x:c r="M534" s="6" t="n">
        <x:v>6</x:v>
      </x:c>
      <x:c r="N534" s="6" t="n">
        <x:v>4873.83</x:v>
      </x:c>
      <x:c r="O534" s="6" t="n">
        <x:v>9025.78</x:v>
      </x:c>
      <x:c r="P534" s="6" t="n">
        <x:v>4151.95</x:v>
      </x:c>
      <x:c r="Q534" s="1" t="n">
        <x:v>0</x:v>
      </x:c>
      <x:c r="R534" s="1" t="str">
        <x:v>Yes</x:v>
      </x:c>
      <x:c r="S534" s="7" t="n">
        <x:v>86.7</x:v>
      </x:c>
      <x:c r="T534" s="1" t="str">
        <x:v>Yes</x:v>
      </x:c>
      <x:c r="U534" s="1" t="str">
        <x:v>Completed</x:v>
      </x:c>
    </x:row>
    <x:row r="535">
      <x:c r="A535" s="1" t="str">
        <x:v>PUB-0534</x:v>
      </x:c>
      <x:c r="B535" s="5" t="n">
        <x:v>45720</x:v>
      </x:c>
      <x:c r="C535" s="5" t="n">
        <x:v>45735</x:v>
      </x:c>
      <x:c r="D535" s="5" t="n">
        <x:v>45728</x:v>
      </x:c>
      <x:c r="E535" s="1" t="str">
        <x:v>Digital Learning</x:v>
      </x:c>
      <x:c r="F535" s="1" t="str">
        <x:v>Workbook</x:v>
      </x:c>
      <x:c r="G535" s="1" t="str">
        <x:v>Low</x:v>
      </x:c>
      <x:c r="H535" s="1" t="str">
        <x:v>Manual</x:v>
      </x:c>
      <x:c r="I535" s="1" t="str">
        <x:v>Manual / NA</x:v>
      </x:c>
      <x:c r="J535" s="1" t="n">
        <x:v>185</x:v>
      </x:c>
      <x:c r="K535" s="6" t="n">
        <x:v>62.6</x:v>
      </x:c>
      <x:c r="L535" s="6" t="n">
        <x:v>58.9</x:v>
      </x:c>
      <x:c r="M535" s="6" t="n">
        <x:v>0</x:v>
      </x:c>
      <x:c r="N535" s="6" t="n">
        <x:v>54522.05</x:v>
      </x:c>
      <x:c r="O535" s="6" t="n">
        <x:v>51271.96</x:v>
      </x:c>
      <x:c r="P535" s="6" t="n">
        <x:v>0</x:v>
      </x:c>
      <x:c r="Q535" s="1" t="n">
        <x:v>0</x:v>
      </x:c>
      <x:c r="R535" s="1" t="str">
        <x:v>Yes</x:v>
      </x:c>
      <x:c r="S535" s="7" t="n">
        <x:v>85.9</x:v>
      </x:c>
      <x:c r="T535" s="1" t="str">
        <x:v>Yes</x:v>
      </x:c>
      <x:c r="U535" s="1" t="str">
        <x:v>Completed</x:v>
      </x:c>
    </x:row>
    <x:row r="536">
      <x:c r="A536" s="1" t="str">
        <x:v>PUB-0535</x:v>
      </x:c>
      <x:c r="B536" s="5" t="n">
        <x:v>45715</x:v>
      </x:c>
      <x:c r="C536" s="5" t="n">
        <x:v>45736</x:v>
      </x:c>
      <x:c r="D536" s="5" t="n">
        <x:v>45725</x:v>
      </x:c>
      <x:c r="E536" s="1" t="str">
        <x:v>Design</x:v>
      </x:c>
      <x:c r="F536" s="1" t="str">
        <x:v>Workbook</x:v>
      </x:c>
      <x:c r="G536" s="1" t="str">
        <x:v>Medium</x:v>
      </x:c>
      <x:c r="H536" s="1" t="str">
        <x:v>AI-Assisted</x:v>
      </x:c>
      <x:c r="I536" s="1" t="str">
        <x:v>Structured v3</x:v>
      </x:c>
      <x:c r="J536" s="1" t="n">
        <x:v>200</x:v>
      </x:c>
      <x:c r="K536" s="6" t="n">
        <x:v>73.6</x:v>
      </x:c>
      <x:c r="L536" s="6" t="n">
        <x:v>110</x:v>
      </x:c>
      <x:c r="M536" s="6" t="n">
        <x:v>36.4</x:v>
      </x:c>
      <x:c r="N536" s="6" t="n">
        <x:v>70803.5</x:v>
      </x:c>
      <x:c r="O536" s="6" t="n">
        <x:v>105860.51</x:v>
      </x:c>
      <x:c r="P536" s="6" t="n">
        <x:v>35057.01</x:v>
      </x:c>
      <x:c r="Q536" s="1" t="n">
        <x:v>0</x:v>
      </x:c>
      <x:c r="R536" s="1" t="str">
        <x:v>Yes</x:v>
      </x:c>
      <x:c r="S536" s="7" t="n">
        <x:v>83.3</x:v>
      </x:c>
      <x:c r="T536" s="1" t="str">
        <x:v>Yes</x:v>
      </x:c>
      <x:c r="U536" s="1" t="str">
        <x:v>Completed</x:v>
      </x:c>
    </x:row>
    <x:row r="537">
      <x:c r="A537" s="1" t="str">
        <x:v>PUB-0536</x:v>
      </x:c>
      <x:c r="B537" s="5" t="n">
        <x:v>45684</x:v>
      </x:c>
      <x:c r="C537" s="5" t="n">
        <x:v>45700</x:v>
      </x:c>
      <x:c r="D537" s="5" t="n">
        <x:v>45691</x:v>
      </x:c>
      <x:c r="E537" s="1" t="str">
        <x:v>Design</x:v>
      </x:c>
      <x:c r="F537" s="1" t="str">
        <x:v>Workbook</x:v>
      </x:c>
      <x:c r="G537" s="1" t="str">
        <x:v>Medium</x:v>
      </x:c>
      <x:c r="H537" s="1" t="str">
        <x:v>AI-Assisted</x:v>
      </x:c>
      <x:c r="I537" s="1" t="str">
        <x:v>Structured v3</x:v>
      </x:c>
      <x:c r="J537" s="1" t="n">
        <x:v>160</x:v>
      </x:c>
      <x:c r="K537" s="6" t="n">
        <x:v>53.5</x:v>
      </x:c>
      <x:c r="L537" s="6" t="n">
        <x:v>78.5</x:v>
      </x:c>
      <x:c r="M537" s="6" t="n">
        <x:v>25</x:v>
      </x:c>
      <x:c r="N537" s="6" t="n">
        <x:v>58966.9</x:v>
      </x:c>
      <x:c r="O537" s="6" t="n">
        <x:v>86488.02</x:v>
      </x:c>
      <x:c r="P537" s="6" t="n">
        <x:v>27521.12</x:v>
      </x:c>
      <x:c r="Q537" s="1" t="n">
        <x:v>0</x:v>
      </x:c>
      <x:c r="R537" s="1" t="str">
        <x:v>Yes</x:v>
      </x:c>
      <x:c r="S537" s="7" t="n">
        <x:v>90.3</x:v>
      </x:c>
      <x:c r="T537" s="1" t="str">
        <x:v>Yes</x:v>
      </x:c>
      <x:c r="U537" s="1" t="str">
        <x:v>Completed</x:v>
      </x:c>
    </x:row>
    <x:row r="538">
      <x:c r="A538" s="1" t="str">
        <x:v>PUB-0537</x:v>
      </x:c>
      <x:c r="B538" s="5" t="n">
        <x:v>46150</x:v>
      </x:c>
      <x:c r="C538" s="5" t="n">
        <x:v>46155</x:v>
      </x:c>
      <x:c r="D538" s="5" t="n">
        <x:v>46151</x:v>
      </x:c>
      <x:c r="E538" s="1" t="str">
        <x:v>Production</x:v>
      </x:c>
      <x:c r="F538" s="1" t="str">
        <x:v>Workbook</x:v>
      </x:c>
      <x:c r="G538" s="1" t="str">
        <x:v>Low</x:v>
      </x:c>
      <x:c r="H538" s="1" t="str">
        <x:v>AI-Assisted</x:v>
      </x:c>
      <x:c r="I538" s="1" t="str">
        <x:v>Editorial QA</x:v>
      </x:c>
      <x:c r="J538" s="1" t="n">
        <x:v>23</x:v>
      </x:c>
      <x:c r="K538" s="6" t="n">
        <x:v>5.6</x:v>
      </x:c>
      <x:c r="L538" s="6" t="n">
        <x:v>9.2</x:v>
      </x:c>
      <x:c r="M538" s="6" t="n">
        <x:v>3.6</x:v>
      </x:c>
      <x:c r="N538" s="6" t="n">
        <x:v>5464.77</x:v>
      </x:c>
      <x:c r="O538" s="6" t="n">
        <x:v>8992.38</x:v>
      </x:c>
      <x:c r="P538" s="6" t="n">
        <x:v>3527.61</x:v>
      </x:c>
      <x:c r="Q538" s="1" t="n">
        <x:v>0</x:v>
      </x:c>
      <x:c r="R538" s="1" t="str">
        <x:v>Yes</x:v>
      </x:c>
      <x:c r="S538" s="7" t="n">
        <x:v>83.1</x:v>
      </x:c>
      <x:c r="T538" s="1" t="str">
        <x:v>Yes</x:v>
      </x:c>
      <x:c r="U538" s="1" t="str">
        <x:v>Completed</x:v>
      </x:c>
    </x:row>
    <x:row r="539">
      <x:c r="A539" s="1" t="str">
        <x:v>PUB-0538</x:v>
      </x:c>
      <x:c r="B539" s="5" t="n">
        <x:v>46009</x:v>
      </x:c>
      <x:c r="C539" s="5" t="n">
        <x:v>46014</x:v>
      </x:c>
      <x:c r="D539" s="5" t="n">
        <x:v>46011</x:v>
      </x:c>
      <x:c r="E539" s="1" t="str">
        <x:v>Editorial</x:v>
      </x:c>
      <x:c r="F539" s="1" t="str">
        <x:v>E-book</x:v>
      </x:c>
      <x:c r="G539" s="1" t="str">
        <x:v>Low</x:v>
      </x:c>
      <x:c r="H539" s="1" t="str">
        <x:v>AI-Assisted</x:v>
      </x:c>
      <x:c r="I539" s="1" t="str">
        <x:v>Editorial QA</x:v>
      </x:c>
      <x:c r="J539" s="1" t="n">
        <x:v>45</x:v>
      </x:c>
      <x:c r="K539" s="6" t="n">
        <x:v>11.8</x:v>
      </x:c>
      <x:c r="L539" s="6" t="n">
        <x:v>17.4</x:v>
      </x:c>
      <x:c r="M539" s="6" t="n">
        <x:v>5.6</x:v>
      </x:c>
      <x:c r="N539" s="6" t="n">
        <x:v>12736.34</x:v>
      </x:c>
      <x:c r="O539" s="6" t="n">
        <x:v>18781.47</x:v>
      </x:c>
      <x:c r="P539" s="6" t="n">
        <x:v>6045.13</x:v>
      </x:c>
      <x:c r="Q539" s="1" t="n">
        <x:v>0</x:v>
      </x:c>
      <x:c r="R539" s="1" t="str">
        <x:v>Yes</x:v>
      </x:c>
      <x:c r="S539" s="7" t="n">
        <x:v>85.6</x:v>
      </x:c>
      <x:c r="T539" s="1" t="str">
        <x:v>Yes</x:v>
      </x:c>
      <x:c r="U539" s="1" t="str">
        <x:v>Completed</x:v>
      </x:c>
    </x:row>
    <x:row r="540">
      <x:c r="A540" s="1" t="str">
        <x:v>PUB-0539</x:v>
      </x:c>
      <x:c r="B540" s="5" t="n">
        <x:v>45864</x:v>
      </x:c>
      <x:c r="C540" s="5" t="n">
        <x:v>45876</x:v>
      </x:c>
      <x:c r="D540" s="5" t="n">
        <x:v>45869</x:v>
      </x:c>
      <x:c r="E540" s="1" t="str">
        <x:v>Production</x:v>
      </x:c>
      <x:c r="F540" s="1" t="str">
        <x:v>Workbook</x:v>
      </x:c>
      <x:c r="G540" s="1" t="str">
        <x:v>Medium</x:v>
      </x:c>
      <x:c r="H540" s="1" t="str">
        <x:v>AI-Assisted</x:v>
      </x:c>
      <x:c r="I540" s="1" t="str">
        <x:v>Editorial QA</x:v>
      </x:c>
      <x:c r="J540" s="1" t="n">
        <x:v>127</x:v>
      </x:c>
      <x:c r="K540" s="6" t="n">
        <x:v>34</x:v>
      </x:c>
      <x:c r="L540" s="6" t="n">
        <x:v>55</x:v>
      </x:c>
      <x:c r="M540" s="6" t="n">
        <x:v>21</x:v>
      </x:c>
      <x:c r="N540" s="6" t="n">
        <x:v>38472.1</x:v>
      </x:c>
      <x:c r="O540" s="6" t="n">
        <x:v>62202.83</x:v>
      </x:c>
      <x:c r="P540" s="6" t="n">
        <x:v>23730.73</x:v>
      </x:c>
      <x:c r="Q540" s="1" t="n">
        <x:v>0</x:v>
      </x:c>
      <x:c r="R540" s="1" t="str">
        <x:v>Yes</x:v>
      </x:c>
      <x:c r="S540" s="7" t="n">
        <x:v>86.1</x:v>
      </x:c>
      <x:c r="T540" s="1" t="str">
        <x:v>Yes</x:v>
      </x:c>
      <x:c r="U540" s="1" t="str">
        <x:v>Completed</x:v>
      </x:c>
    </x:row>
    <x:row r="541">
      <x:c r="A541" s="1" t="str">
        <x:v>PUB-0540</x:v>
      </x:c>
      <x:c r="B541" s="5" t="n">
        <x:v>45661</x:v>
      </x:c>
      <x:c r="C541" s="5" t="n">
        <x:v>45669</x:v>
      </x:c>
      <x:c r="D541" s="5" t="n">
        <x:v>45664</x:v>
      </x:c>
      <x:c r="E541" s="1" t="str">
        <x:v>Production</x:v>
      </x:c>
      <x:c r="F541" s="1" t="str">
        <x:v>Illustration</x:v>
      </x:c>
      <x:c r="G541" s="1" t="str">
        <x:v>Medium</x:v>
      </x:c>
      <x:c r="H541" s="1" t="str">
        <x:v>AI-Assisted</x:v>
      </x:c>
      <x:c r="I541" s="1" t="str">
        <x:v>Structured v3</x:v>
      </x:c>
      <x:c r="J541" s="1" t="n">
        <x:v>65</x:v>
      </x:c>
      <x:c r="K541" s="6" t="n">
        <x:v>20.7</x:v>
      </x:c>
      <x:c r="L541" s="6" t="n">
        <x:v>37</x:v>
      </x:c>
      <x:c r="M541" s="6" t="n">
        <x:v>16.3</x:v>
      </x:c>
      <x:c r="N541" s="6" t="n">
        <x:v>21114.84</x:v>
      </x:c>
      <x:c r="O541" s="6" t="n">
        <x:v>37763.96</x:v>
      </x:c>
      <x:c r="P541" s="6" t="n">
        <x:v>16649.12</x:v>
      </x:c>
      <x:c r="Q541" s="1" t="n">
        <x:v>0</x:v>
      </x:c>
      <x:c r="R541" s="1" t="str">
        <x:v>Yes</x:v>
      </x:c>
      <x:c r="S541" s="7" t="n">
        <x:v>90.6</x:v>
      </x:c>
      <x:c r="T541" s="1" t="str">
        <x:v>Yes</x:v>
      </x:c>
      <x:c r="U541" s="1" t="str">
        <x:v>Completed</x:v>
      </x:c>
    </x:row>
    <x:row r="542">
      <x:c r="A542" s="1" t="str">
        <x:v>PUB-0541</x:v>
      </x:c>
      <x:c r="B542" s="5" t="n">
        <x:v>45733</x:v>
      </x:c>
      <x:c r="C542" s="5" t="n">
        <x:v>45741</x:v>
      </x:c>
      <x:c r="D542" s="5" t="n">
        <x:v>45734</x:v>
      </x:c>
      <x:c r="E542" s="1" t="str">
        <x:v>Design</x:v>
      </x:c>
      <x:c r="F542" s="1" t="str">
        <x:v>Assessment</x:v>
      </x:c>
      <x:c r="G542" s="1" t="str">
        <x:v>Low</x:v>
      </x:c>
      <x:c r="H542" s="1" t="str">
        <x:v>AI-Assisted</x:v>
      </x:c>
      <x:c r="I542" s="1" t="str">
        <x:v>Few-shot v2</x:v>
      </x:c>
      <x:c r="J542" s="1" t="n">
        <x:v>50</x:v>
      </x:c>
      <x:c r="K542" s="6" t="n">
        <x:v>7.9</x:v>
      </x:c>
      <x:c r="L542" s="6" t="n">
        <x:v>15</x:v>
      </x:c>
      <x:c r="M542" s="6" t="n">
        <x:v>7.1</x:v>
      </x:c>
      <x:c r="N542" s="6" t="n">
        <x:v>5822.88</x:v>
      </x:c>
      <x:c r="O542" s="6" t="n">
        <x:v>11076.56</x:v>
      </x:c>
      <x:c r="P542" s="6" t="n">
        <x:v>5253.68</x:v>
      </x:c>
      <x:c r="Q542" s="1" t="n">
        <x:v>0</x:v>
      </x:c>
      <x:c r="R542" s="1" t="str">
        <x:v>Yes</x:v>
      </x:c>
      <x:c r="S542" s="7" t="n">
        <x:v>88</x:v>
      </x:c>
      <x:c r="T542" s="1" t="str">
        <x:v>Yes</x:v>
      </x:c>
      <x:c r="U542" s="1" t="str">
        <x:v>Completed</x:v>
      </x:c>
    </x:row>
    <x:row r="543">
      <x:c r="A543" s="1" t="str">
        <x:v>PUB-0542</x:v>
      </x:c>
      <x:c r="B543" s="5" t="n">
        <x:v>45680</x:v>
      </x:c>
      <x:c r="C543" s="5" t="n">
        <x:v>45686</x:v>
      </x:c>
      <x:c r="D543" s="5" t="n">
        <x:v>45682</x:v>
      </x:c>
      <x:c r="E543" s="1" t="str">
        <x:v>Editorial</x:v>
      </x:c>
      <x:c r="F543" s="1" t="str">
        <x:v>Workbook</x:v>
      </x:c>
      <x:c r="G543" s="1" t="str">
        <x:v>Medium</x:v>
      </x:c>
      <x:c r="H543" s="1" t="str">
        <x:v>AI-Assisted</x:v>
      </x:c>
      <x:c r="I543" s="1" t="str">
        <x:v>Visual Brief</x:v>
      </x:c>
      <x:c r="J543" s="1" t="n">
        <x:v>43</x:v>
      </x:c>
      <x:c r="K543" s="6" t="n">
        <x:v>11.6</x:v>
      </x:c>
      <x:c r="L543" s="6" t="n">
        <x:v>22.9</x:v>
      </x:c>
      <x:c r="M543" s="6" t="n">
        <x:v>11.3</x:v>
      </x:c>
      <x:c r="N543" s="6" t="n">
        <x:v>12969.46</x:v>
      </x:c>
      <x:c r="O543" s="6" t="n">
        <x:v>25635.86</x:v>
      </x:c>
      <x:c r="P543" s="6" t="n">
        <x:v>12666.4</x:v>
      </x:c>
      <x:c r="Q543" s="1" t="n">
        <x:v>0</x:v>
      </x:c>
      <x:c r="R543" s="1" t="str">
        <x:v>Yes</x:v>
      </x:c>
      <x:c r="S543" s="7" t="n">
        <x:v>84.1</x:v>
      </x:c>
      <x:c r="T543" s="1" t="str">
        <x:v>Yes</x:v>
      </x:c>
      <x:c r="U543" s="1" t="str">
        <x:v>Completed</x:v>
      </x:c>
    </x:row>
    <x:row r="544">
      <x:c r="A544" s="1" t="str">
        <x:v>PUB-0543</x:v>
      </x:c>
      <x:c r="B544" s="5" t="n">
        <x:v>45833</x:v>
      </x:c>
      <x:c r="C544" s="5" t="n">
        <x:v>45845</x:v>
      </x:c>
      <x:c r="D544" s="5" t="n">
        <x:v>45840</x:v>
      </x:c>
      <x:c r="E544" s="1" t="str">
        <x:v>Digital Learning</x:v>
      </x:c>
      <x:c r="F544" s="1" t="str">
        <x:v>E-book</x:v>
      </x:c>
      <x:c r="G544" s="1" t="str">
        <x:v>High</x:v>
      </x:c>
      <x:c r="H544" s="1" t="str">
        <x:v>Manual</x:v>
      </x:c>
      <x:c r="I544" s="1" t="str">
        <x:v>Manual / NA</x:v>
      </x:c>
      <x:c r="J544" s="1" t="n">
        <x:v>119</x:v>
      </x:c>
      <x:c r="K544" s="6" t="n">
        <x:v>53.4</x:v>
      </x:c>
      <x:c r="L544" s="6" t="n">
        <x:v>58.8</x:v>
      </x:c>
      <x:c r="M544" s="6" t="n">
        <x:v>5.4</x:v>
      </x:c>
      <x:c r="N544" s="6" t="n">
        <x:v>59384.95</x:v>
      </x:c>
      <x:c r="O544" s="6" t="n">
        <x:v>65399.17</x:v>
      </x:c>
      <x:c r="P544" s="6" t="n">
        <x:v>6014.22</x:v>
      </x:c>
      <x:c r="Q544" s="1" t="n">
        <x:v>0</x:v>
      </x:c>
      <x:c r="R544" s="1" t="str">
        <x:v>Yes</x:v>
      </x:c>
      <x:c r="S544" s="7" t="n">
        <x:v>86.9</x:v>
      </x:c>
      <x:c r="T544" s="1" t="str">
        <x:v>Yes</x:v>
      </x:c>
      <x:c r="U544" s="1" t="str">
        <x:v>Completed</x:v>
      </x:c>
    </x:row>
    <x:row r="545">
      <x:c r="A545" s="1" t="str">
        <x:v>PUB-0544</x:v>
      </x:c>
      <x:c r="B545" s="5" t="n">
        <x:v>45908</x:v>
      </x:c>
      <x:c r="C545" s="5" t="n">
        <x:v>45919</x:v>
      </x:c>
      <x:c r="D545" s="5" t="str"/>
      <x:c r="E545" s="1" t="str">
        <x:v>Digital Learning</x:v>
      </x:c>
      <x:c r="F545" s="1" t="str">
        <x:v>Illustration</x:v>
      </x:c>
      <x:c r="G545" s="1" t="str">
        <x:v>High</x:v>
      </x:c>
      <x:c r="H545" s="1" t="str">
        <x:v>AI-Assisted</x:v>
      </x:c>
      <x:c r="I545" s="1" t="str">
        <x:v>Visual Brief</x:v>
      </x:c>
      <x:c r="J545" s="1" t="n">
        <x:v>41</x:v>
      </x:c>
      <x:c r="K545" s="6" t="n">
        <x:v>11.5</x:v>
      </x:c>
      <x:c r="L545" s="6" t="n">
        <x:v>23.4</x:v>
      </x:c>
      <x:c r="M545" s="6" t="n">
        <x:v>11.9</x:v>
      </x:c>
      <x:c r="N545" s="6" t="n">
        <x:v>12049.77</x:v>
      </x:c>
      <x:c r="O545" s="6" t="n">
        <x:v>24502.62</x:v>
      </x:c>
      <x:c r="P545" s="6" t="n">
        <x:v>12452.85</x:v>
      </x:c>
      <x:c r="Q545" s="1" t="n">
        <x:v>0</x:v>
      </x:c>
      <x:c r="R545" s="1" t="str"/>
      <x:c r="S545" s="7" t="n">
        <x:v>94</x:v>
      </x:c>
      <x:c r="T545" s="1" t="str"/>
      <x:c r="U545" s="1" t="str">
        <x:v>In Progress</x:v>
      </x:c>
    </x:row>
    <x:row r="546">
      <x:c r="A546" s="1" t="str">
        <x:v>PUB-0545</x:v>
      </x:c>
      <x:c r="B546" s="5" t="n">
        <x:v>46158</x:v>
      </x:c>
      <x:c r="C546" s="5" t="n">
        <x:v>46167</x:v>
      </x:c>
      <x:c r="D546" s="5" t="n">
        <x:v>46159</x:v>
      </x:c>
      <x:c r="E546" s="1" t="str">
        <x:v>Editorial</x:v>
      </x:c>
      <x:c r="F546" s="1" t="str">
        <x:v>School Textbook</x:v>
      </x:c>
      <x:c r="G546" s="1" t="str">
        <x:v>Low</x:v>
      </x:c>
      <x:c r="H546" s="1" t="str">
        <x:v>AI-Assisted</x:v>
      </x:c>
      <x:c r="I546" s="1" t="str">
        <x:v>Editorial QA</x:v>
      </x:c>
      <x:c r="J546" s="1" t="n">
        <x:v>24</x:v>
      </x:c>
      <x:c r="K546" s="6" t="n">
        <x:v>6.1</x:v>
      </x:c>
      <x:c r="L546" s="6" t="n">
        <x:v>8.8</x:v>
      </x:c>
      <x:c r="M546" s="6" t="n">
        <x:v>2.7</x:v>
      </x:c>
      <x:c r="N546" s="6" t="n">
        <x:v>6255.97</x:v>
      </x:c>
      <x:c r="O546" s="6" t="n">
        <x:v>8989.3</x:v>
      </x:c>
      <x:c r="P546" s="6" t="n">
        <x:v>2733.33</x:v>
      </x:c>
      <x:c r="Q546" s="1" t="n">
        <x:v>0</x:v>
      </x:c>
      <x:c r="R546" s="1" t="str">
        <x:v>Yes</x:v>
      </x:c>
      <x:c r="S546" s="7" t="n">
        <x:v>85.6</x:v>
      </x:c>
      <x:c r="T546" s="1" t="str">
        <x:v>Yes</x:v>
      </x:c>
      <x:c r="U546" s="1" t="str">
        <x:v>Completed</x:v>
      </x:c>
    </x:row>
    <x:row r="547">
      <x:c r="A547" s="1" t="str">
        <x:v>PUB-0546</x:v>
      </x:c>
      <x:c r="B547" s="5" t="n">
        <x:v>46152</x:v>
      </x:c>
      <x:c r="C547" s="5" t="n">
        <x:v>46159</x:v>
      </x:c>
      <x:c r="D547" s="5" t="n">
        <x:v>46153</x:v>
      </x:c>
      <x:c r="E547" s="1" t="str">
        <x:v>Production</x:v>
      </x:c>
      <x:c r="F547" s="1" t="str">
        <x:v>Assessment</x:v>
      </x:c>
      <x:c r="G547" s="1" t="str">
        <x:v>Low</x:v>
      </x:c>
      <x:c r="H547" s="1" t="str">
        <x:v>AI-Assisted</x:v>
      </x:c>
      <x:c r="I547" s="1" t="str">
        <x:v>Few-shot v2</x:v>
      </x:c>
      <x:c r="J547" s="1" t="n">
        <x:v>8</x:v>
      </x:c>
      <x:c r="K547" s="6" t="n">
        <x:v>2.1</x:v>
      </x:c>
      <x:c r="L547" s="6" t="n">
        <x:v>3.7</x:v>
      </x:c>
      <x:c r="M547" s="6" t="n">
        <x:v>1.6</x:v>
      </x:c>
      <x:c r="N547" s="6" t="n">
        <x:v>1611.1</x:v>
      </x:c>
      <x:c r="O547" s="6" t="n">
        <x:v>2802.63</x:v>
      </x:c>
      <x:c r="P547" s="6" t="n">
        <x:v>1191.53</x:v>
      </x:c>
      <x:c r="Q547" s="1" t="n">
        <x:v>0</x:v>
      </x:c>
      <x:c r="R547" s="1" t="str">
        <x:v>Yes</x:v>
      </x:c>
      <x:c r="S547" s="7" t="n">
        <x:v>88.6</x:v>
      </x:c>
      <x:c r="T547" s="1" t="str">
        <x:v>Yes</x:v>
      </x:c>
      <x:c r="U547" s="1" t="str">
        <x:v>Completed</x:v>
      </x:c>
    </x:row>
    <x:row r="548">
      <x:c r="A548" s="1" t="str">
        <x:v>PUB-0547</x:v>
      </x:c>
      <x:c r="B548" s="5" t="n">
        <x:v>46041</x:v>
      </x:c>
      <x:c r="C548" s="5" t="n">
        <x:v>46051</x:v>
      </x:c>
      <x:c r="D548" s="5" t="n">
        <x:v>46046</x:v>
      </x:c>
      <x:c r="E548" s="1" t="str">
        <x:v>Editorial</x:v>
      </x:c>
      <x:c r="F548" s="1" t="str">
        <x:v>School Textbook</x:v>
      </x:c>
      <x:c r="G548" s="1" t="str">
        <x:v>Medium</x:v>
      </x:c>
      <x:c r="H548" s="1" t="str">
        <x:v>Manual</x:v>
      </x:c>
      <x:c r="I548" s="1" t="str">
        <x:v>Manual / NA</x:v>
      </x:c>
      <x:c r="J548" s="1" t="n">
        <x:v>83</x:v>
      </x:c>
      <x:c r="K548" s="6" t="n">
        <x:v>36.2</x:v>
      </x:c>
      <x:c r="L548" s="6" t="n">
        <x:v>36.3</x:v>
      </x:c>
      <x:c r="M548" s="6" t="n">
        <x:v>0.1</x:v>
      </x:c>
      <x:c r="N548" s="6" t="n">
        <x:v>31951.08</x:v>
      </x:c>
      <x:c r="O548" s="6" t="n">
        <x:v>32039.13</x:v>
      </x:c>
      <x:c r="P548" s="6" t="n">
        <x:v>88.05</x:v>
      </x:c>
      <x:c r="Q548" s="1" t="n">
        <x:v>0</x:v>
      </x:c>
      <x:c r="R548" s="1" t="str">
        <x:v>Yes</x:v>
      </x:c>
      <x:c r="S548" s="7" t="n">
        <x:v>79.5</x:v>
      </x:c>
      <x:c r="T548" s="1" t="str">
        <x:v>Yes</x:v>
      </x:c>
      <x:c r="U548" s="1" t="str">
        <x:v>Completed</x:v>
      </x:c>
    </x:row>
    <x:row r="549">
      <x:c r="A549" s="1" t="str">
        <x:v>PUB-0548</x:v>
      </x:c>
      <x:c r="B549" s="5" t="n">
        <x:v>45982</x:v>
      </x:c>
      <x:c r="C549" s="5" t="n">
        <x:v>45992</x:v>
      </x:c>
      <x:c r="D549" s="5" t="str"/>
      <x:c r="E549" s="1" t="str">
        <x:v>Editorial</x:v>
      </x:c>
      <x:c r="F549" s="1" t="str">
        <x:v>School Textbook</x:v>
      </x:c>
      <x:c r="G549" s="1" t="str">
        <x:v>Medium</x:v>
      </x:c>
      <x:c r="H549" s="1" t="str">
        <x:v>AI-Assisted</x:v>
      </x:c>
      <x:c r="I549" s="1" t="str">
        <x:v>Structured v3</x:v>
      </x:c>
      <x:c r="J549" s="1" t="n">
        <x:v>27</x:v>
      </x:c>
      <x:c r="K549" s="6" t="n">
        <x:v>7</x:v>
      </x:c>
      <x:c r="L549" s="6" t="n">
        <x:v>10.2</x:v>
      </x:c>
      <x:c r="M549" s="6" t="n">
        <x:v>3.2</x:v>
      </x:c>
      <x:c r="N549" s="6" t="n">
        <x:v>6344.77</x:v>
      </x:c>
      <x:c r="O549" s="6" t="n">
        <x:v>9253.9</x:v>
      </x:c>
      <x:c r="P549" s="6" t="n">
        <x:v>2909.13</x:v>
      </x:c>
      <x:c r="Q549" s="1" t="n">
        <x:v>0</x:v>
      </x:c>
      <x:c r="R549" s="1" t="str"/>
      <x:c r="S549" s="7" t="n">
        <x:v>91.8</x:v>
      </x:c>
      <x:c r="T549" s="1" t="str"/>
      <x:c r="U549" s="1" t="str">
        <x:v>In Review</x:v>
      </x:c>
    </x:row>
    <x:row r="550">
      <x:c r="A550" s="1" t="str">
        <x:v>PUB-0549</x:v>
      </x:c>
      <x:c r="B550" s="5" t="n">
        <x:v>45758</x:v>
      </x:c>
      <x:c r="C550" s="5" t="n">
        <x:v>45776</x:v>
      </x:c>
      <x:c r="D550" s="5" t="n">
        <x:v>45765</x:v>
      </x:c>
      <x:c r="E550" s="1" t="str">
        <x:v>Editorial</x:v>
      </x:c>
      <x:c r="F550" s="1" t="str">
        <x:v>Workbook</x:v>
      </x:c>
      <x:c r="G550" s="1" t="str">
        <x:v>Medium</x:v>
      </x:c>
      <x:c r="H550" s="1" t="str">
        <x:v>AI-Assisted</x:v>
      </x:c>
      <x:c r="I550" s="1" t="str">
        <x:v>Structured v3</x:v>
      </x:c>
      <x:c r="J550" s="1" t="n">
        <x:v>180</x:v>
      </x:c>
      <x:c r="K550" s="6" t="n">
        <x:v>51.9</x:v>
      </x:c>
      <x:c r="L550" s="6" t="n">
        <x:v>76.8</x:v>
      </x:c>
      <x:c r="M550" s="6" t="n">
        <x:v>24.9</x:v>
      </x:c>
      <x:c r="N550" s="6" t="n">
        <x:v>51472.85</x:v>
      </x:c>
      <x:c r="O550" s="6" t="n">
        <x:v>76155.55</x:v>
      </x:c>
      <x:c r="P550" s="6" t="n">
        <x:v>24682.7</x:v>
      </x:c>
      <x:c r="Q550" s="1" t="n">
        <x:v>0</x:v>
      </x:c>
      <x:c r="R550" s="1" t="str">
        <x:v>Yes</x:v>
      </x:c>
      <x:c r="S550" s="7" t="n">
        <x:v>83.7</x:v>
      </x:c>
      <x:c r="T550" s="1" t="str">
        <x:v>Yes</x:v>
      </x:c>
      <x:c r="U550" s="1" t="str">
        <x:v>Completed</x:v>
      </x:c>
    </x:row>
    <x:row r="551">
      <x:c r="A551" s="1" t="str">
        <x:v>PUB-0550</x:v>
      </x:c>
      <x:c r="B551" s="5" t="n">
        <x:v>45925</x:v>
      </x:c>
      <x:c r="C551" s="5" t="n">
        <x:v>45954</x:v>
      </x:c>
      <x:c r="D551" s="5" t="n">
        <x:v>45949</x:v>
      </x:c>
      <x:c r="E551" s="1" t="str">
        <x:v>Editorial</x:v>
      </x:c>
      <x:c r="F551" s="1" t="str">
        <x:v>Workbook</x:v>
      </x:c>
      <x:c r="G551" s="1" t="str">
        <x:v>High</x:v>
      </x:c>
      <x:c r="H551" s="1" t="str">
        <x:v>Manual</x:v>
      </x:c>
      <x:c r="I551" s="1" t="str">
        <x:v>Manual / NA</x:v>
      </x:c>
      <x:c r="J551" s="1" t="n">
        <x:v>208</x:v>
      </x:c>
      <x:c r="K551" s="6" t="n">
        <x:v>162.9</x:v>
      </x:c>
      <x:c r="L551" s="6" t="n">
        <x:v>156</x:v>
      </x:c>
      <x:c r="M551" s="6" t="n">
        <x:v>0</x:v>
      </x:c>
      <x:c r="N551" s="6" t="n">
        <x:v>167608.3</x:v>
      </x:c>
      <x:c r="O551" s="6" t="n">
        <x:v>160479.91</x:v>
      </x:c>
      <x:c r="P551" s="6" t="n">
        <x:v>0</x:v>
      </x:c>
      <x:c r="Q551" s="1" t="n">
        <x:v>2</x:v>
      </x:c>
      <x:c r="R551" s="1" t="str">
        <x:v>No</x:v>
      </x:c>
      <x:c r="S551" s="7" t="n">
        <x:v>65</x:v>
      </x:c>
      <x:c r="T551" s="1" t="str">
        <x:v>Yes</x:v>
      </x:c>
      <x:c r="U551" s="1" t="str">
        <x:v>Completed</x:v>
      </x:c>
    </x:row>
    <x:row r="552">
      <x:c r="A552" s="1" t="str">
        <x:v>PUB-0551</x:v>
      </x:c>
      <x:c r="B552" s="5" t="n">
        <x:v>45891</x:v>
      </x:c>
      <x:c r="C552" s="5" t="n">
        <x:v>45898</x:v>
      </x:c>
      <x:c r="D552" s="5" t="n">
        <x:v>45894</x:v>
      </x:c>
      <x:c r="E552" s="1" t="str">
        <x:v>Editorial</x:v>
      </x:c>
      <x:c r="F552" s="1" t="str">
        <x:v>Illustration</x:v>
      </x:c>
      <x:c r="G552" s="1" t="str">
        <x:v>Medium</x:v>
      </x:c>
      <x:c r="H552" s="1" t="str">
        <x:v>AI-Assisted</x:v>
      </x:c>
      <x:c r="I552" s="1" t="str">
        <x:v>Few-shot v2</x:v>
      </x:c>
      <x:c r="J552" s="1" t="n">
        <x:v>63</x:v>
      </x:c>
      <x:c r="K552" s="6" t="n">
        <x:v>19.5</x:v>
      </x:c>
      <x:c r="L552" s="6" t="n">
        <x:v>29.1</x:v>
      </x:c>
      <x:c r="M552" s="6" t="n">
        <x:v>9.6</x:v>
      </x:c>
      <x:c r="N552" s="6" t="n">
        <x:v>15727.48</x:v>
      </x:c>
      <x:c r="O552" s="6" t="n">
        <x:v>23450.09</x:v>
      </x:c>
      <x:c r="P552" s="6" t="n">
        <x:v>7722.61</x:v>
      </x:c>
      <x:c r="Q552" s="1" t="n">
        <x:v>0</x:v>
      </x:c>
      <x:c r="R552" s="1" t="str">
        <x:v>Yes</x:v>
      </x:c>
      <x:c r="S552" s="7" t="n">
        <x:v>90.1</x:v>
      </x:c>
      <x:c r="T552" s="1" t="str">
        <x:v>Yes</x:v>
      </x:c>
      <x:c r="U552" s="1" t="str">
        <x:v>Completed</x:v>
      </x:c>
    </x:row>
    <x:row r="553">
      <x:c r="A553" s="1" t="str">
        <x:v>PUB-0552</x:v>
      </x:c>
      <x:c r="B553" s="5" t="n">
        <x:v>45688</x:v>
      </x:c>
      <x:c r="C553" s="5" t="n">
        <x:v>45698</x:v>
      </x:c>
      <x:c r="D553" s="5" t="n">
        <x:v>45689</x:v>
      </x:c>
      <x:c r="E553" s="1" t="str">
        <x:v>Design</x:v>
      </x:c>
      <x:c r="F553" s="1" t="str">
        <x:v>Assessment</x:v>
      </x:c>
      <x:c r="G553" s="1" t="str">
        <x:v>Medium</x:v>
      </x:c>
      <x:c r="H553" s="1" t="str">
        <x:v>AI-Assisted</x:v>
      </x:c>
      <x:c r="I553" s="1" t="str">
        <x:v>Visual Brief</x:v>
      </x:c>
      <x:c r="J553" s="1" t="n">
        <x:v>5</x:v>
      </x:c>
      <x:c r="K553" s="6" t="n">
        <x:v>1.4</x:v>
      </x:c>
      <x:c r="L553" s="6" t="n">
        <x:v>2.5</x:v>
      </x:c>
      <x:c r="M553" s="6" t="n">
        <x:v>1.1</x:v>
      </x:c>
      <x:c r="N553" s="6" t="n">
        <x:v>1067.84</x:v>
      </x:c>
      <x:c r="O553" s="6" t="n">
        <x:v>1925.73</x:v>
      </x:c>
      <x:c r="P553" s="6" t="n">
        <x:v>857.89</x:v>
      </x:c>
      <x:c r="Q553" s="1" t="n">
        <x:v>0</x:v>
      </x:c>
      <x:c r="R553" s="1" t="str">
        <x:v>Yes</x:v>
      </x:c>
      <x:c r="S553" s="7" t="n">
        <x:v>80.6</x:v>
      </x:c>
      <x:c r="T553" s="1" t="str">
        <x:v>Yes</x:v>
      </x:c>
      <x:c r="U553" s="1" t="str">
        <x:v>Completed</x:v>
      </x:c>
    </x:row>
    <x:row r="554">
      <x:c r="A554" s="1" t="str">
        <x:v>PUB-0553</x:v>
      </x:c>
      <x:c r="B554" s="5" t="n">
        <x:v>45964</x:v>
      </x:c>
      <x:c r="C554" s="5" t="n">
        <x:v>45972</x:v>
      </x:c>
      <x:c r="D554" s="5" t="str"/>
      <x:c r="E554" s="1" t="str">
        <x:v>Editorial</x:v>
      </x:c>
      <x:c r="F554" s="1" t="str">
        <x:v>School Textbook</x:v>
      </x:c>
      <x:c r="G554" s="1" t="str">
        <x:v>Low</x:v>
      </x:c>
      <x:c r="H554" s="1" t="str">
        <x:v>Manual</x:v>
      </x:c>
      <x:c r="I554" s="1" t="str">
        <x:v>Manual / NA</x:v>
      </x:c>
      <x:c r="J554" s="1" t="n">
        <x:v>43</x:v>
      </x:c>
      <x:c r="K554" s="6" t="n">
        <x:v>19</x:v>
      </x:c>
      <x:c r="L554" s="6" t="n">
        <x:v>20.1</x:v>
      </x:c>
      <x:c r="M554" s="6" t="n">
        <x:v>1.1</x:v>
      </x:c>
      <x:c r="N554" s="6" t="n">
        <x:v>18333.47</x:v>
      </x:c>
      <x:c r="O554" s="6" t="n">
        <x:v>19378.87</x:v>
      </x:c>
      <x:c r="P554" s="6" t="n">
        <x:v>1045.4</x:v>
      </x:c>
      <x:c r="Q554" s="1" t="n">
        <x:v>0</x:v>
      </x:c>
      <x:c r="R554" s="1" t="str"/>
      <x:c r="S554" s="7" t="n">
        <x:v>76.4</x:v>
      </x:c>
      <x:c r="T554" s="1" t="str"/>
      <x:c r="U554" s="1" t="str">
        <x:v>In Review</x:v>
      </x:c>
    </x:row>
    <x:row r="555">
      <x:c r="A555" s="1" t="str">
        <x:v>PUB-0554</x:v>
      </x:c>
      <x:c r="B555" s="5" t="n">
        <x:v>45723</x:v>
      </x:c>
      <x:c r="C555" s="5" t="n">
        <x:v>45738</x:v>
      </x:c>
      <x:c r="D555" s="5" t="n">
        <x:v>45727</x:v>
      </x:c>
      <x:c r="E555" s="1" t="str">
        <x:v>Design</x:v>
      </x:c>
      <x:c r="F555" s="1" t="str">
        <x:v>School Textbook</x:v>
      </x:c>
      <x:c r="G555" s="1" t="str">
        <x:v>Medium</x:v>
      </x:c>
      <x:c r="H555" s="1" t="str">
        <x:v>AI-Assisted</x:v>
      </x:c>
      <x:c r="I555" s="1" t="str">
        <x:v>Few-shot v2</x:v>
      </x:c>
      <x:c r="J555" s="1" t="n">
        <x:v>123</x:v>
      </x:c>
      <x:c r="K555" s="6" t="n">
        <x:v>27.4</x:v>
      </x:c>
      <x:c r="L555" s="6" t="n">
        <x:v>52.5</x:v>
      </x:c>
      <x:c r="M555" s="6" t="n">
        <x:v>25.1</x:v>
      </x:c>
      <x:c r="N555" s="6" t="n">
        <x:v>27055.93</x:v>
      </x:c>
      <x:c r="O555" s="6" t="n">
        <x:v>51864.15</x:v>
      </x:c>
      <x:c r="P555" s="6" t="n">
        <x:v>24808.22</x:v>
      </x:c>
      <x:c r="Q555" s="1" t="n">
        <x:v>0</x:v>
      </x:c>
      <x:c r="R555" s="1" t="str">
        <x:v>Yes</x:v>
      </x:c>
      <x:c r="S555" s="7" t="n">
        <x:v>82.1</x:v>
      </x:c>
      <x:c r="T555" s="1" t="str">
        <x:v>Yes</x:v>
      </x:c>
      <x:c r="U555" s="1" t="str">
        <x:v>Completed</x:v>
      </x:c>
    </x:row>
    <x:row r="556">
      <x:c r="A556" s="1" t="str">
        <x:v>PUB-0555</x:v>
      </x:c>
      <x:c r="B556" s="5" t="n">
        <x:v>45685</x:v>
      </x:c>
      <x:c r="C556" s="5" t="n">
        <x:v>45694</x:v>
      </x:c>
      <x:c r="D556" s="5" t="n">
        <x:v>45689</x:v>
      </x:c>
      <x:c r="E556" s="1" t="str">
        <x:v>Editorial</x:v>
      </x:c>
      <x:c r="F556" s="1" t="str">
        <x:v>School Textbook</x:v>
      </x:c>
      <x:c r="G556" s="1" t="str">
        <x:v>Low</x:v>
      </x:c>
      <x:c r="H556" s="1" t="str">
        <x:v>Manual</x:v>
      </x:c>
      <x:c r="I556" s="1" t="str">
        <x:v>Manual / NA</x:v>
      </x:c>
      <x:c r="J556" s="1" t="n">
        <x:v>80</x:v>
      </x:c>
      <x:c r="K556" s="6" t="n">
        <x:v>27.4</x:v>
      </x:c>
      <x:c r="L556" s="6" t="n">
        <x:v>27.8</x:v>
      </x:c>
      <x:c r="M556" s="6" t="n">
        <x:v>0.4</x:v>
      </x:c>
      <x:c r="N556" s="6" t="n">
        <x:v>24038.89</x:v>
      </x:c>
      <x:c r="O556" s="6" t="n">
        <x:v>24404.95</x:v>
      </x:c>
      <x:c r="P556" s="6" t="n">
        <x:v>366.06</x:v>
      </x:c>
      <x:c r="Q556" s="1" t="n">
        <x:v>0</x:v>
      </x:c>
      <x:c r="R556" s="1" t="str">
        <x:v>Yes</x:v>
      </x:c>
      <x:c r="S556" s="7" t="n">
        <x:v>89.9</x:v>
      </x:c>
      <x:c r="T556" s="1" t="str">
        <x:v>Yes</x:v>
      </x:c>
      <x:c r="U556" s="1" t="str">
        <x:v>Completed</x:v>
      </x:c>
    </x:row>
    <x:row r="557">
      <x:c r="A557" s="1" t="str">
        <x:v>PUB-0556</x:v>
      </x:c>
      <x:c r="B557" s="5" t="n">
        <x:v>45771</x:v>
      </x:c>
      <x:c r="C557" s="5" t="n">
        <x:v>45788</x:v>
      </x:c>
      <x:c r="D557" s="5" t="n">
        <x:v>45780</x:v>
      </x:c>
      <x:c r="E557" s="1" t="str">
        <x:v>Editorial</x:v>
      </x:c>
      <x:c r="F557" s="1" t="str">
        <x:v>Workbook</x:v>
      </x:c>
      <x:c r="G557" s="1" t="str">
        <x:v>High</x:v>
      </x:c>
      <x:c r="H557" s="1" t="str">
        <x:v>Manual</x:v>
      </x:c>
      <x:c r="I557" s="1" t="str">
        <x:v>Manual / NA</x:v>
      </x:c>
      <x:c r="J557" s="1" t="n">
        <x:v>107</x:v>
      </x:c>
      <x:c r="K557" s="6" t="n">
        <x:v>70.4</x:v>
      </x:c>
      <x:c r="L557" s="6" t="n">
        <x:v>77.7</x:v>
      </x:c>
      <x:c r="M557" s="6" t="n">
        <x:v>7.3</x:v>
      </x:c>
      <x:c r="N557" s="6" t="n">
        <x:v>52999.83</x:v>
      </x:c>
      <x:c r="O557" s="6" t="n">
        <x:v>58530.26</x:v>
      </x:c>
      <x:c r="P557" s="6" t="n">
        <x:v>5530.43</x:v>
      </x:c>
      <x:c r="Q557" s="1" t="n">
        <x:v>0</x:v>
      </x:c>
      <x:c r="R557" s="1" t="str">
        <x:v>Yes</x:v>
      </x:c>
      <x:c r="S557" s="7" t="n">
        <x:v>85.3</x:v>
      </x:c>
      <x:c r="T557" s="1" t="str">
        <x:v>Yes</x:v>
      </x:c>
      <x:c r="U557" s="1" t="str">
        <x:v>Completed</x:v>
      </x:c>
    </x:row>
    <x:row r="558">
      <x:c r="A558" s="1" t="str">
        <x:v>PUB-0557</x:v>
      </x:c>
      <x:c r="B558" s="5" t="n">
        <x:v>45975</x:v>
      </x:c>
      <x:c r="C558" s="5" t="n">
        <x:v>45982</x:v>
      </x:c>
      <x:c r="D558" s="5" t="n">
        <x:v>45976</x:v>
      </x:c>
      <x:c r="E558" s="1" t="str">
        <x:v>Production</x:v>
      </x:c>
      <x:c r="F558" s="1" t="str">
        <x:v>Assessment</x:v>
      </x:c>
      <x:c r="G558" s="1" t="str">
        <x:v>High</x:v>
      </x:c>
      <x:c r="H558" s="1" t="str">
        <x:v>AI-Assisted</x:v>
      </x:c>
      <x:c r="I558" s="1" t="str">
        <x:v>Structured v3</x:v>
      </x:c>
      <x:c r="J558" s="1" t="n">
        <x:v>4</x:v>
      </x:c>
      <x:c r="K558" s="6" t="n">
        <x:v>1.6</x:v>
      </x:c>
      <x:c r="L558" s="6" t="n">
        <x:v>2.4</x:v>
      </x:c>
      <x:c r="M558" s="6" t="n">
        <x:v>0.8</x:v>
      </x:c>
      <x:c r="N558" s="6" t="n">
        <x:v>1523.88</x:v>
      </x:c>
      <x:c r="O558" s="6" t="n">
        <x:v>2303.5</x:v>
      </x:c>
      <x:c r="P558" s="6" t="n">
        <x:v>779.62</x:v>
      </x:c>
      <x:c r="Q558" s="1" t="n">
        <x:v>0</x:v>
      </x:c>
      <x:c r="R558" s="1" t="str">
        <x:v>Yes</x:v>
      </x:c>
      <x:c r="S558" s="7" t="n">
        <x:v>85.6</x:v>
      </x:c>
      <x:c r="T558" s="1" t="str">
        <x:v>Yes</x:v>
      </x:c>
      <x:c r="U558" s="1" t="str">
        <x:v>Completed</x:v>
      </x:c>
    </x:row>
    <x:row r="559">
      <x:c r="A559" s="1" t="str">
        <x:v>PUB-0558</x:v>
      </x:c>
      <x:c r="B559" s="5" t="n">
        <x:v>45698</x:v>
      </x:c>
      <x:c r="C559" s="5" t="n">
        <x:v>45715</x:v>
      </x:c>
      <x:c r="D559" s="5" t="n">
        <x:v>45707</x:v>
      </x:c>
      <x:c r="E559" s="1" t="str">
        <x:v>Production</x:v>
      </x:c>
      <x:c r="F559" s="1" t="str">
        <x:v>Workbook</x:v>
      </x:c>
      <x:c r="G559" s="1" t="str">
        <x:v>Medium</x:v>
      </x:c>
      <x:c r="H559" s="1" t="str">
        <x:v>Manual</x:v>
      </x:c>
      <x:c r="I559" s="1" t="str">
        <x:v>Manual / NA</x:v>
      </x:c>
      <x:c r="J559" s="1" t="n">
        <x:v>124</x:v>
      </x:c>
      <x:c r="K559" s="6" t="n">
        <x:v>70.2</x:v>
      </x:c>
      <x:c r="L559" s="6" t="n">
        <x:v>67.6</x:v>
      </x:c>
      <x:c r="M559" s="6" t="n">
        <x:v>0</x:v>
      </x:c>
      <x:c r="N559" s="6" t="n">
        <x:v>59357.27</x:v>
      </x:c>
      <x:c r="O559" s="6" t="n">
        <x:v>57181.86</x:v>
      </x:c>
      <x:c r="P559" s="6" t="n">
        <x:v>0</x:v>
      </x:c>
      <x:c r="Q559" s="1" t="n">
        <x:v>0</x:v>
      </x:c>
      <x:c r="R559" s="1" t="str">
        <x:v>Yes</x:v>
      </x:c>
      <x:c r="S559" s="7" t="n">
        <x:v>91.3</x:v>
      </x:c>
      <x:c r="T559" s="1" t="str">
        <x:v>Yes</x:v>
      </x:c>
      <x:c r="U559" s="1" t="str">
        <x:v>Completed</x:v>
      </x:c>
    </x:row>
    <x:row r="560">
      <x:c r="A560" s="1" t="str">
        <x:v>PUB-0559</x:v>
      </x:c>
      <x:c r="B560" s="5" t="n">
        <x:v>45841</x:v>
      </x:c>
      <x:c r="C560" s="5" t="n">
        <x:v>45849</x:v>
      </x:c>
      <x:c r="D560" s="5" t="n">
        <x:v>45842</x:v>
      </x:c>
      <x:c r="E560" s="1" t="str">
        <x:v>Digital Learning</x:v>
      </x:c>
      <x:c r="F560" s="1" t="str">
        <x:v>Illustration</x:v>
      </x:c>
      <x:c r="G560" s="1" t="str">
        <x:v>Medium</x:v>
      </x:c>
      <x:c r="H560" s="1" t="str">
        <x:v>AI-Assisted</x:v>
      </x:c>
      <x:c r="I560" s="1" t="str">
        <x:v>Visual Brief</x:v>
      </x:c>
      <x:c r="J560" s="1" t="n">
        <x:v>27</x:v>
      </x:c>
      <x:c r="K560" s="6" t="n">
        <x:v>6.7</x:v>
      </x:c>
      <x:c r="L560" s="6" t="n">
        <x:v>10.3</x:v>
      </x:c>
      <x:c r="M560" s="6" t="n">
        <x:v>3.6</x:v>
      </x:c>
      <x:c r="N560" s="6" t="n">
        <x:v>4501.28</x:v>
      </x:c>
      <x:c r="O560" s="6" t="n">
        <x:v>6911.46</x:v>
      </x:c>
      <x:c r="P560" s="6" t="n">
        <x:v>2410.18</x:v>
      </x:c>
      <x:c r="Q560" s="1" t="n">
        <x:v>0</x:v>
      </x:c>
      <x:c r="R560" s="1" t="str">
        <x:v>Yes</x:v>
      </x:c>
      <x:c r="S560" s="7" t="n">
        <x:v>95.2</x:v>
      </x:c>
      <x:c r="T560" s="1" t="str">
        <x:v>Yes</x:v>
      </x:c>
      <x:c r="U560" s="1" t="str">
        <x:v>Completed</x:v>
      </x:c>
    </x:row>
    <x:row r="561">
      <x:c r="A561" s="1" t="str">
        <x:v>PUB-0560</x:v>
      </x:c>
      <x:c r="B561" s="5" t="n">
        <x:v>45726</x:v>
      </x:c>
      <x:c r="C561" s="5" t="n">
        <x:v>45733</x:v>
      </x:c>
      <x:c r="D561" s="5" t="n">
        <x:v>45727</x:v>
      </x:c>
      <x:c r="E561" s="1" t="str">
        <x:v>Production</x:v>
      </x:c>
      <x:c r="F561" s="1" t="str">
        <x:v>Illustration</x:v>
      </x:c>
      <x:c r="G561" s="1" t="str">
        <x:v>High</x:v>
      </x:c>
      <x:c r="H561" s="1" t="str">
        <x:v>AI-Assisted</x:v>
      </x:c>
      <x:c r="I561" s="1" t="str">
        <x:v>Few-shot v2</x:v>
      </x:c>
      <x:c r="J561" s="1" t="n">
        <x:v>19</x:v>
      </x:c>
      <x:c r="K561" s="6" t="n">
        <x:v>4.8</x:v>
      </x:c>
      <x:c r="L561" s="6" t="n">
        <x:v>9.5</x:v>
      </x:c>
      <x:c r="M561" s="6" t="n">
        <x:v>4.7</x:v>
      </x:c>
      <x:c r="N561" s="6" t="n">
        <x:v>4959.69</x:v>
      </x:c>
      <x:c r="O561" s="6" t="n">
        <x:v>9765.52</x:v>
      </x:c>
      <x:c r="P561" s="6" t="n">
        <x:v>4805.83</x:v>
      </x:c>
      <x:c r="Q561" s="1" t="n">
        <x:v>0</x:v>
      </x:c>
      <x:c r="R561" s="1" t="str">
        <x:v>Yes</x:v>
      </x:c>
      <x:c r="S561" s="7" t="n">
        <x:v>98.5</x:v>
      </x:c>
      <x:c r="T561" s="1" t="str">
        <x:v>Yes</x:v>
      </x:c>
      <x:c r="U561" s="1" t="str">
        <x:v>Completed</x:v>
      </x:c>
    </x:row>
    <x:row r="562">
      <x:c r="A562" s="1" t="str">
        <x:v>PUB-0561</x:v>
      </x:c>
      <x:c r="B562" s="5" t="n">
        <x:v>46176</x:v>
      </x:c>
      <x:c r="C562" s="5" t="n">
        <x:v>46192</x:v>
      </x:c>
      <x:c r="D562" s="5" t="n">
        <x:v>46184</x:v>
      </x:c>
      <x:c r="E562" s="1" t="str">
        <x:v>Editorial</x:v>
      </x:c>
      <x:c r="F562" s="1" t="str">
        <x:v>School Textbook</x:v>
      </x:c>
      <x:c r="G562" s="1" t="str">
        <x:v>Medium</x:v>
      </x:c>
      <x:c r="H562" s="1" t="str">
        <x:v>AI-Assisted</x:v>
      </x:c>
      <x:c r="I562" s="1" t="str">
        <x:v>Editorial QA</x:v>
      </x:c>
      <x:c r="J562" s="1" t="n">
        <x:v>126</x:v>
      </x:c>
      <x:c r="K562" s="6" t="n">
        <x:v>45.3</x:v>
      </x:c>
      <x:c r="L562" s="6" t="n">
        <x:v>66</x:v>
      </x:c>
      <x:c r="M562" s="6" t="n">
        <x:v>20.7</x:v>
      </x:c>
      <x:c r="N562" s="6" t="n">
        <x:v>38429.67</x:v>
      </x:c>
      <x:c r="O562" s="6" t="n">
        <x:v>56022.44</x:v>
      </x:c>
      <x:c r="P562" s="6" t="n">
        <x:v>17592.77</x:v>
      </x:c>
      <x:c r="Q562" s="1" t="n">
        <x:v>1</x:v>
      </x:c>
      <x:c r="R562" s="1" t="str">
        <x:v>No</x:v>
      </x:c>
      <x:c r="S562" s="7" t="n">
        <x:v>91.6</x:v>
      </x:c>
      <x:c r="T562" s="1" t="str">
        <x:v>Yes</x:v>
      </x:c>
      <x:c r="U562" s="1" t="str">
        <x:v>Completed</x:v>
      </x:c>
    </x:row>
    <x:row r="563">
      <x:c r="A563" s="1" t="str">
        <x:v>PUB-0562</x:v>
      </x:c>
      <x:c r="B563" s="5" t="n">
        <x:v>45727</x:v>
      </x:c>
      <x:c r="C563" s="5" t="n">
        <x:v>45739</x:v>
      </x:c>
      <x:c r="D563" s="5" t="n">
        <x:v>45733</x:v>
      </x:c>
      <x:c r="E563" s="1" t="str">
        <x:v>Editorial</x:v>
      </x:c>
      <x:c r="F563" s="1" t="str">
        <x:v>Assessment</x:v>
      </x:c>
      <x:c r="G563" s="1" t="str">
        <x:v>High</x:v>
      </x:c>
      <x:c r="H563" s="1" t="str">
        <x:v>AI-Assisted</x:v>
      </x:c>
      <x:c r="I563" s="1" t="str">
        <x:v>Few-shot v2</x:v>
      </x:c>
      <x:c r="J563" s="1" t="n">
        <x:v>64</x:v>
      </x:c>
      <x:c r="K563" s="6" t="n">
        <x:v>24</x:v>
      </x:c>
      <x:c r="L563" s="6" t="n">
        <x:v>46.1</x:v>
      </x:c>
      <x:c r="M563" s="6" t="n">
        <x:v>22.1</x:v>
      </x:c>
      <x:c r="N563" s="6" t="n">
        <x:v>15816.79</x:v>
      </x:c>
      <x:c r="O563" s="6" t="n">
        <x:v>30350.94</x:v>
      </x:c>
      <x:c r="P563" s="6" t="n">
        <x:v>14534.15</x:v>
      </x:c>
      <x:c r="Q563" s="1" t="n">
        <x:v>1</x:v>
      </x:c>
      <x:c r="R563" s="1" t="str">
        <x:v>No</x:v>
      </x:c>
      <x:c r="S563" s="7" t="n">
        <x:v>85</x:v>
      </x:c>
      <x:c r="T563" s="1" t="str">
        <x:v>Yes</x:v>
      </x:c>
      <x:c r="U563" s="1" t="str">
        <x:v>Completed</x:v>
      </x:c>
    </x:row>
    <x:row r="564">
      <x:c r="A564" s="1" t="str">
        <x:v>PUB-0563</x:v>
      </x:c>
      <x:c r="B564" s="5" t="n">
        <x:v>45737</x:v>
      </x:c>
      <x:c r="C564" s="5" t="n">
        <x:v>45746</x:v>
      </x:c>
      <x:c r="D564" s="5" t="n">
        <x:v>45738</x:v>
      </x:c>
      <x:c r="E564" s="1" t="str">
        <x:v>Production</x:v>
      </x:c>
      <x:c r="F564" s="1" t="str">
        <x:v>School Textbook</x:v>
      </x:c>
      <x:c r="G564" s="1" t="str">
        <x:v>Low</x:v>
      </x:c>
      <x:c r="H564" s="1" t="str">
        <x:v>AI-Assisted</x:v>
      </x:c>
      <x:c r="I564" s="1" t="str">
        <x:v>Few-shot v2</x:v>
      </x:c>
      <x:c r="J564" s="1" t="n">
        <x:v>53</x:v>
      </x:c>
      <x:c r="K564" s="6" t="n">
        <x:v>10.3</x:v>
      </x:c>
      <x:c r="L564" s="6" t="n">
        <x:v>16</x:v>
      </x:c>
      <x:c r="M564" s="6" t="n">
        <x:v>5.7</x:v>
      </x:c>
      <x:c r="N564" s="6" t="n">
        <x:v>7808.26</x:v>
      </x:c>
      <x:c r="O564" s="6" t="n">
        <x:v>12110.33</x:v>
      </x:c>
      <x:c r="P564" s="6" t="n">
        <x:v>4302.07</x:v>
      </x:c>
      <x:c r="Q564" s="1" t="n">
        <x:v>0</x:v>
      </x:c>
      <x:c r="R564" s="1" t="str">
        <x:v>Yes</x:v>
      </x:c>
      <x:c r="S564" s="7" t="n">
        <x:v>94.2</x:v>
      </x:c>
      <x:c r="T564" s="1" t="str">
        <x:v>Yes</x:v>
      </x:c>
      <x:c r="U564" s="1" t="str">
        <x:v>Completed</x:v>
      </x:c>
    </x:row>
    <x:row r="565">
      <x:c r="A565" s="1" t="str">
        <x:v>PUB-0564</x:v>
      </x:c>
      <x:c r="B565" s="5" t="n">
        <x:v>45763</x:v>
      </x:c>
      <x:c r="C565" s="5" t="n">
        <x:v>45776</x:v>
      </x:c>
      <x:c r="D565" s="5" t="n">
        <x:v>45769</x:v>
      </x:c>
      <x:c r="E565" s="1" t="str">
        <x:v>Design</x:v>
      </x:c>
      <x:c r="F565" s="1" t="str">
        <x:v>Workbook</x:v>
      </x:c>
      <x:c r="G565" s="1" t="str">
        <x:v>Medium</x:v>
      </x:c>
      <x:c r="H565" s="1" t="str">
        <x:v>AI-Assisted</x:v>
      </x:c>
      <x:c r="I565" s="1" t="str">
        <x:v>Structured v3</x:v>
      </x:c>
      <x:c r="J565" s="1" t="n">
        <x:v>205</x:v>
      </x:c>
      <x:c r="K565" s="6" t="n">
        <x:v>44.8</x:v>
      </x:c>
      <x:c r="L565" s="6" t="n">
        <x:v>82.9</x:v>
      </x:c>
      <x:c r="M565" s="6" t="n">
        <x:v>38.1</x:v>
      </x:c>
      <x:c r="N565" s="6" t="n">
        <x:v>49476.14</x:v>
      </x:c>
      <x:c r="O565" s="6" t="n">
        <x:v>91551.17</x:v>
      </x:c>
      <x:c r="P565" s="6" t="n">
        <x:v>42075.03</x:v>
      </x:c>
      <x:c r="Q565" s="1" t="n">
        <x:v>0</x:v>
      </x:c>
      <x:c r="R565" s="1" t="str">
        <x:v>Yes</x:v>
      </x:c>
      <x:c r="S565" s="7" t="n">
        <x:v>80.4</x:v>
      </x:c>
      <x:c r="T565" s="1" t="str">
        <x:v>Yes</x:v>
      </x:c>
      <x:c r="U565" s="1" t="str">
        <x:v>Completed</x:v>
      </x:c>
    </x:row>
    <x:row r="566">
      <x:c r="A566" s="1" t="str">
        <x:v>PUB-0565</x:v>
      </x:c>
      <x:c r="B566" s="5" t="n">
        <x:v>45672</x:v>
      </x:c>
      <x:c r="C566" s="5" t="n">
        <x:v>45681</x:v>
      </x:c>
      <x:c r="D566" s="5" t="n">
        <x:v>45674</x:v>
      </x:c>
      <x:c r="E566" s="1" t="str">
        <x:v>Design</x:v>
      </x:c>
      <x:c r="F566" s="1" t="str">
        <x:v>School Textbook</x:v>
      </x:c>
      <x:c r="G566" s="1" t="str">
        <x:v>High</x:v>
      </x:c>
      <x:c r="H566" s="1" t="str">
        <x:v>AI-Assisted</x:v>
      </x:c>
      <x:c r="I566" s="1" t="str">
        <x:v>Structured v3</x:v>
      </x:c>
      <x:c r="J566" s="1" t="n">
        <x:v>32</x:v>
      </x:c>
      <x:c r="K566" s="6" t="n">
        <x:v>11.9</x:v>
      </x:c>
      <x:c r="L566" s="6" t="n">
        <x:v>22.9</x:v>
      </x:c>
      <x:c r="M566" s="6" t="n">
        <x:v>11</x:v>
      </x:c>
      <x:c r="N566" s="6" t="n">
        <x:v>8728.93</x:v>
      </x:c>
      <x:c r="O566" s="6" t="n">
        <x:v>16815.01</x:v>
      </x:c>
      <x:c r="P566" s="6" t="n">
        <x:v>8086.08</x:v>
      </x:c>
      <x:c r="Q566" s="1" t="n">
        <x:v>0</x:v>
      </x:c>
      <x:c r="R566" s="1" t="str">
        <x:v>Yes</x:v>
      </x:c>
      <x:c r="S566" s="7" t="n">
        <x:v>92.8</x:v>
      </x:c>
      <x:c r="T566" s="1" t="str">
        <x:v>Yes</x:v>
      </x:c>
      <x:c r="U566" s="1" t="str">
        <x:v>Completed</x:v>
      </x:c>
    </x:row>
    <x:row r="567">
      <x:c r="A567" s="1" t="str">
        <x:v>PUB-0566</x:v>
      </x:c>
      <x:c r="B567" s="5" t="n">
        <x:v>45870</x:v>
      </x:c>
      <x:c r="C567" s="5" t="n">
        <x:v>45877</x:v>
      </x:c>
      <x:c r="D567" s="5" t="n">
        <x:v>45871</x:v>
      </x:c>
      <x:c r="E567" s="1" t="str">
        <x:v>Digital Learning</x:v>
      </x:c>
      <x:c r="F567" s="1" t="str">
        <x:v>Workbook</x:v>
      </x:c>
      <x:c r="G567" s="1" t="str">
        <x:v>Medium</x:v>
      </x:c>
      <x:c r="H567" s="1" t="str">
        <x:v>AI-Assisted</x:v>
      </x:c>
      <x:c r="I567" s="1" t="str">
        <x:v>Structured v3</x:v>
      </x:c>
      <x:c r="J567" s="1" t="n">
        <x:v>35</x:v>
      </x:c>
      <x:c r="K567" s="6" t="n">
        <x:v>8</x:v>
      </x:c>
      <x:c r="L567" s="6" t="n">
        <x:v>13.9</x:v>
      </x:c>
      <x:c r="M567" s="6" t="n">
        <x:v>5.9</x:v>
      </x:c>
      <x:c r="N567" s="6" t="n">
        <x:v>6464.96</x:v>
      </x:c>
      <x:c r="O567" s="6" t="n">
        <x:v>11262.68</x:v>
      </x:c>
      <x:c r="P567" s="6" t="n">
        <x:v>4797.72</x:v>
      </x:c>
      <x:c r="Q567" s="1" t="n">
        <x:v>0</x:v>
      </x:c>
      <x:c r="R567" s="1" t="str">
        <x:v>Yes</x:v>
      </x:c>
      <x:c r="S567" s="7" t="n">
        <x:v>92.1</x:v>
      </x:c>
      <x:c r="T567" s="1" t="str">
        <x:v>Yes</x:v>
      </x:c>
      <x:c r="U567" s="1" t="str">
        <x:v>Completed</x:v>
      </x:c>
    </x:row>
    <x:row r="568">
      <x:c r="A568" s="1" t="str">
        <x:v>PUB-0567</x:v>
      </x:c>
      <x:c r="B568" s="5" t="n">
        <x:v>45943</x:v>
      </x:c>
      <x:c r="C568" s="5" t="n">
        <x:v>45954</x:v>
      </x:c>
      <x:c r="D568" s="5" t="n">
        <x:v>45948</x:v>
      </x:c>
      <x:c r="E568" s="1" t="str">
        <x:v>Production</x:v>
      </x:c>
      <x:c r="F568" s="1" t="str">
        <x:v>Workbook</x:v>
      </x:c>
      <x:c r="G568" s="1" t="str">
        <x:v>High</x:v>
      </x:c>
      <x:c r="H568" s="1" t="str">
        <x:v>AI-Assisted</x:v>
      </x:c>
      <x:c r="I568" s="1" t="str">
        <x:v>Structured v3</x:v>
      </x:c>
      <x:c r="J568" s="1" t="n">
        <x:v>85</x:v>
      </x:c>
      <x:c r="K568" s="6" t="n">
        <x:v>37.8</x:v>
      </x:c>
      <x:c r="L568" s="6" t="n">
        <x:v>52.7</x:v>
      </x:c>
      <x:c r="M568" s="6" t="n">
        <x:v>14.9</x:v>
      </x:c>
      <x:c r="N568" s="6" t="n">
        <x:v>38036.84</x:v>
      </x:c>
      <x:c r="O568" s="6" t="n">
        <x:v>53053.88</x:v>
      </x:c>
      <x:c r="P568" s="6" t="n">
        <x:v>15017.04</x:v>
      </x:c>
      <x:c r="Q568" s="1" t="n">
        <x:v>0</x:v>
      </x:c>
      <x:c r="R568" s="1" t="str">
        <x:v>Yes</x:v>
      </x:c>
      <x:c r="S568" s="7" t="n">
        <x:v>95.3</x:v>
      </x:c>
      <x:c r="T568" s="1" t="str">
        <x:v>Yes</x:v>
      </x:c>
      <x:c r="U568" s="1" t="str">
        <x:v>Completed</x:v>
      </x:c>
    </x:row>
    <x:row r="569">
      <x:c r="A569" s="1" t="str">
        <x:v>PUB-0568</x:v>
      </x:c>
      <x:c r="B569" s="5" t="n">
        <x:v>46055</x:v>
      </x:c>
      <x:c r="C569" s="5" t="n">
        <x:v>46076</x:v>
      </x:c>
      <x:c r="D569" s="5" t="n">
        <x:v>46068</x:v>
      </x:c>
      <x:c r="E569" s="1" t="str">
        <x:v>Production</x:v>
      </x:c>
      <x:c r="F569" s="1" t="str">
        <x:v>E-book</x:v>
      </x:c>
      <x:c r="G569" s="1" t="str">
        <x:v>High</x:v>
      </x:c>
      <x:c r="H569" s="1" t="str">
        <x:v>AI-Assisted</x:v>
      </x:c>
      <x:c r="I569" s="1" t="str">
        <x:v>Structured v3</x:v>
      </x:c>
      <x:c r="J569" s="1" t="n">
        <x:v>170</x:v>
      </x:c>
      <x:c r="K569" s="6" t="n">
        <x:v>82</x:v>
      </x:c>
      <x:c r="L569" s="6" t="n">
        <x:v>114.7</x:v>
      </x:c>
      <x:c r="M569" s="6" t="n">
        <x:v>32.7</x:v>
      </x:c>
      <x:c r="N569" s="6" t="n">
        <x:v>80621.19</x:v>
      </x:c>
      <x:c r="O569" s="6" t="n">
        <x:v>112801.51</x:v>
      </x:c>
      <x:c r="P569" s="6" t="n">
        <x:v>32180.32</x:v>
      </x:c>
      <x:c r="Q569" s="1" t="n">
        <x:v>1</x:v>
      </x:c>
      <x:c r="R569" s="1" t="str">
        <x:v>No</x:v>
      </x:c>
      <x:c r="S569" s="7" t="n">
        <x:v>84</x:v>
      </x:c>
      <x:c r="T569" s="1" t="str">
        <x:v>Yes</x:v>
      </x:c>
      <x:c r="U569" s="1" t="str">
        <x:v>Completed</x:v>
      </x:c>
    </x:row>
    <x:row r="570">
      <x:c r="A570" s="1" t="str">
        <x:v>PUB-0569</x:v>
      </x:c>
      <x:c r="B570" s="5" t="n">
        <x:v>45896</x:v>
      </x:c>
      <x:c r="C570" s="5" t="n">
        <x:v>45901</x:v>
      </x:c>
      <x:c r="D570" s="5" t="n">
        <x:v>45900</x:v>
      </x:c>
      <x:c r="E570" s="1" t="str">
        <x:v>Design</x:v>
      </x:c>
      <x:c r="F570" s="1" t="str">
        <x:v>Illustration</x:v>
      </x:c>
      <x:c r="G570" s="1" t="str">
        <x:v>Medium</x:v>
      </x:c>
      <x:c r="H570" s="1" t="str">
        <x:v>AI-Assisted</x:v>
      </x:c>
      <x:c r="I570" s="1" t="str">
        <x:v>Structured v3</x:v>
      </x:c>
      <x:c r="J570" s="1" t="n">
        <x:v>19</x:v>
      </x:c>
      <x:c r="K570" s="6" t="n">
        <x:v>6.6</x:v>
      </x:c>
      <x:c r="L570" s="6" t="n">
        <x:v>9.9</x:v>
      </x:c>
      <x:c r="M570" s="6" t="n">
        <x:v>3.3</x:v>
      </x:c>
      <x:c r="N570" s="6" t="n">
        <x:v>6335.23</x:v>
      </x:c>
      <x:c r="O570" s="6" t="n">
        <x:v>9526.34</x:v>
      </x:c>
      <x:c r="P570" s="6" t="n">
        <x:v>3191.11</x:v>
      </x:c>
      <x:c r="Q570" s="1" t="n">
        <x:v>1</x:v>
      </x:c>
      <x:c r="R570" s="1" t="str">
        <x:v>No</x:v>
      </x:c>
      <x:c r="S570" s="7" t="n">
        <x:v>86.5</x:v>
      </x:c>
      <x:c r="T570" s="1" t="str">
        <x:v>Yes</x:v>
      </x:c>
      <x:c r="U570" s="1" t="str">
        <x:v>Completed</x:v>
      </x:c>
    </x:row>
    <x:row r="571">
      <x:c r="A571" s="1" t="str">
        <x:v>PUB-0570</x:v>
      </x:c>
      <x:c r="B571" s="5" t="n">
        <x:v>46112</x:v>
      </x:c>
      <x:c r="C571" s="5" t="n">
        <x:v>46127</x:v>
      </x:c>
      <x:c r="D571" s="5" t="n">
        <x:v>46119</x:v>
      </x:c>
      <x:c r="E571" s="1" t="str">
        <x:v>Production</x:v>
      </x:c>
      <x:c r="F571" s="1" t="str">
        <x:v>Workbook</x:v>
      </x:c>
      <x:c r="G571" s="1" t="str">
        <x:v>Low</x:v>
      </x:c>
      <x:c r="H571" s="1" t="str">
        <x:v>AI-Assisted</x:v>
      </x:c>
      <x:c r="I571" s="1" t="str">
        <x:v>Editorial QA</x:v>
      </x:c>
      <x:c r="J571" s="1" t="n">
        <x:v>202</x:v>
      </x:c>
      <x:c r="K571" s="6" t="n">
        <x:v>51.3</x:v>
      </x:c>
      <x:c r="L571" s="6" t="n">
        <x:v>88.5</x:v>
      </x:c>
      <x:c r="M571" s="6" t="n">
        <x:v>37.2</x:v>
      </x:c>
      <x:c r="N571" s="6" t="n">
        <x:v>54191.03</x:v>
      </x:c>
      <x:c r="O571" s="6" t="n">
        <x:v>93470</x:v>
      </x:c>
      <x:c r="P571" s="6" t="n">
        <x:v>39278.97</x:v>
      </x:c>
      <x:c r="Q571" s="1" t="n">
        <x:v>0</x:v>
      </x:c>
      <x:c r="R571" s="1" t="str">
        <x:v>Yes</x:v>
      </x:c>
      <x:c r="S571" s="7" t="n">
        <x:v>92</x:v>
      </x:c>
      <x:c r="T571" s="1" t="str">
        <x:v>Yes</x:v>
      </x:c>
      <x:c r="U571" s="1" t="str">
        <x:v>Completed</x:v>
      </x:c>
    </x:row>
    <x:row r="572">
      <x:c r="A572" s="1" t="str">
        <x:v>PUB-0571</x:v>
      </x:c>
      <x:c r="B572" s="5" t="n">
        <x:v>45906</x:v>
      </x:c>
      <x:c r="C572" s="5" t="n">
        <x:v>45914</x:v>
      </x:c>
      <x:c r="D572" s="5" t="n">
        <x:v>45912</x:v>
      </x:c>
      <x:c r="E572" s="1" t="str">
        <x:v>Editorial</x:v>
      </x:c>
      <x:c r="F572" s="1" t="str">
        <x:v>School Textbook</x:v>
      </x:c>
      <x:c r="G572" s="1" t="str">
        <x:v>High</x:v>
      </x:c>
      <x:c r="H572" s="1" t="str">
        <x:v>Manual</x:v>
      </x:c>
      <x:c r="I572" s="1" t="str">
        <x:v>Manual / NA</x:v>
      </x:c>
      <x:c r="J572" s="1" t="n">
        <x:v>71</x:v>
      </x:c>
      <x:c r="K572" s="6" t="n">
        <x:v>44.5</x:v>
      </x:c>
      <x:c r="L572" s="6" t="n">
        <x:v>48.1</x:v>
      </x:c>
      <x:c r="M572" s="6" t="n">
        <x:v>3.6</x:v>
      </x:c>
      <x:c r="N572" s="6" t="n">
        <x:v>48342.7</x:v>
      </x:c>
      <x:c r="O572" s="6" t="n">
        <x:v>52248.51</x:v>
      </x:c>
      <x:c r="P572" s="6" t="n">
        <x:v>3905.81</x:v>
      </x:c>
      <x:c r="Q572" s="1" t="n">
        <x:v>0</x:v>
      </x:c>
      <x:c r="R572" s="1" t="str">
        <x:v>Yes</x:v>
      </x:c>
      <x:c r="S572" s="7" t="n">
        <x:v>88.1</x:v>
      </x:c>
      <x:c r="T572" s="1" t="str">
        <x:v>Yes</x:v>
      </x:c>
      <x:c r="U572" s="1" t="str">
        <x:v>Completed</x:v>
      </x:c>
    </x:row>
    <x:row r="573">
      <x:c r="A573" s="1" t="str">
        <x:v>PUB-0572</x:v>
      </x:c>
      <x:c r="B573" s="5" t="n">
        <x:v>45855</x:v>
      </x:c>
      <x:c r="C573" s="5" t="n">
        <x:v>45864</x:v>
      </x:c>
      <x:c r="D573" s="5" t="n">
        <x:v>45859</x:v>
      </x:c>
      <x:c r="E573" s="1" t="str">
        <x:v>Editorial</x:v>
      </x:c>
      <x:c r="F573" s="1" t="str">
        <x:v>E-book</x:v>
      </x:c>
      <x:c r="G573" s="1" t="str">
        <x:v>Low</x:v>
      </x:c>
      <x:c r="H573" s="1" t="str">
        <x:v>Manual</x:v>
      </x:c>
      <x:c r="I573" s="1" t="str">
        <x:v>Manual / NA</x:v>
      </x:c>
      <x:c r="J573" s="1" t="n">
        <x:v>40</x:v>
      </x:c>
      <x:c r="K573" s="6" t="n">
        <x:v>16.8</x:v>
      </x:c>
      <x:c r="L573" s="6" t="n">
        <x:v>16.1</x:v>
      </x:c>
      <x:c r="M573" s="6" t="n">
        <x:v>0</x:v>
      </x:c>
      <x:c r="N573" s="6" t="n">
        <x:v>18747.23</x:v>
      </x:c>
      <x:c r="O573" s="6" t="n">
        <x:v>17948.71</x:v>
      </x:c>
      <x:c r="P573" s="6" t="n">
        <x:v>0</x:v>
      </x:c>
      <x:c r="Q573" s="1" t="n">
        <x:v>1</x:v>
      </x:c>
      <x:c r="R573" s="1" t="str">
        <x:v>No</x:v>
      </x:c>
      <x:c r="S573" s="7" t="n">
        <x:v>90.5</x:v>
      </x:c>
      <x:c r="T573" s="1" t="str">
        <x:v>Yes</x:v>
      </x:c>
      <x:c r="U573" s="1" t="str">
        <x:v>Completed</x:v>
      </x:c>
    </x:row>
    <x:row r="574">
      <x:c r="A574" s="1" t="str">
        <x:v>PUB-0573</x:v>
      </x:c>
      <x:c r="B574" s="5" t="n">
        <x:v>45860</x:v>
      </x:c>
      <x:c r="C574" s="5" t="n">
        <x:v>45874</x:v>
      </x:c>
      <x:c r="D574" s="5" t="n">
        <x:v>45866</x:v>
      </x:c>
      <x:c r="E574" s="1" t="str">
        <x:v>Editorial</x:v>
      </x:c>
      <x:c r="F574" s="1" t="str">
        <x:v>School Textbook</x:v>
      </x:c>
      <x:c r="G574" s="1" t="str">
        <x:v>High</x:v>
      </x:c>
      <x:c r="H574" s="1" t="str">
        <x:v>AI-Assisted</x:v>
      </x:c>
      <x:c r="I574" s="1" t="str">
        <x:v>Structured v3</x:v>
      </x:c>
      <x:c r="J574" s="1" t="n">
        <x:v>122</x:v>
      </x:c>
      <x:c r="K574" s="6" t="n">
        <x:v>44.7</x:v>
      </x:c>
      <x:c r="L574" s="6" t="n">
        <x:v>65.1</x:v>
      </x:c>
      <x:c r="M574" s="6" t="n">
        <x:v>20.4</x:v>
      </x:c>
      <x:c r="N574" s="6" t="n">
        <x:v>39809.17</x:v>
      </x:c>
      <x:c r="O574" s="6" t="n">
        <x:v>57985.83</x:v>
      </x:c>
      <x:c r="P574" s="6" t="n">
        <x:v>18176.66</x:v>
      </x:c>
      <x:c r="Q574" s="1" t="n">
        <x:v>0</x:v>
      </x:c>
      <x:c r="R574" s="1" t="str">
        <x:v>Yes</x:v>
      </x:c>
      <x:c r="S574" s="7" t="n">
        <x:v>85.6</x:v>
      </x:c>
      <x:c r="T574" s="1" t="str">
        <x:v>Yes</x:v>
      </x:c>
      <x:c r="U574" s="1" t="str">
        <x:v>Completed</x:v>
      </x:c>
    </x:row>
    <x:row r="575">
      <x:c r="A575" s="1" t="str">
        <x:v>PUB-0574</x:v>
      </x:c>
      <x:c r="B575" s="5" t="n">
        <x:v>46101</x:v>
      </x:c>
      <x:c r="C575" s="5" t="n">
        <x:v>46109</x:v>
      </x:c>
      <x:c r="D575" s="5" t="n">
        <x:v>46104</x:v>
      </x:c>
      <x:c r="E575" s="1" t="str">
        <x:v>Production</x:v>
      </x:c>
      <x:c r="F575" s="1" t="str">
        <x:v>Illustration</x:v>
      </x:c>
      <x:c r="G575" s="1" t="str">
        <x:v>High</x:v>
      </x:c>
      <x:c r="H575" s="1" t="str">
        <x:v>Manual</x:v>
      </x:c>
      <x:c r="I575" s="1" t="str">
        <x:v>Manual / NA</x:v>
      </x:c>
      <x:c r="J575" s="1" t="n">
        <x:v>6</x:v>
      </x:c>
      <x:c r="K575" s="6" t="n">
        <x:v>3.2</x:v>
      </x:c>
      <x:c r="L575" s="6" t="n">
        <x:v>3.6</x:v>
      </x:c>
      <x:c r="M575" s="6" t="n">
        <x:v>0.4</x:v>
      </x:c>
      <x:c r="N575" s="6" t="n">
        <x:v>3530.33</x:v>
      </x:c>
      <x:c r="O575" s="6" t="n">
        <x:v>3967.1</x:v>
      </x:c>
      <x:c r="P575" s="6" t="n">
        <x:v>436.77</x:v>
      </x:c>
      <x:c r="Q575" s="1" t="n">
        <x:v>1</x:v>
      </x:c>
      <x:c r="R575" s="1" t="str">
        <x:v>No</x:v>
      </x:c>
      <x:c r="S575" s="7" t="n">
        <x:v>87.5</x:v>
      </x:c>
      <x:c r="T575" s="1" t="str">
        <x:v>Yes</x:v>
      </x:c>
      <x:c r="U575" s="1" t="str">
        <x:v>Completed</x:v>
      </x:c>
    </x:row>
    <x:row r="576">
      <x:c r="A576" s="1" t="str">
        <x:v>PUB-0575</x:v>
      </x:c>
      <x:c r="B576" s="5" t="n">
        <x:v>46047</x:v>
      </x:c>
      <x:c r="C576" s="5" t="n">
        <x:v>46054</x:v>
      </x:c>
      <x:c r="D576" s="5" t="str"/>
      <x:c r="E576" s="1" t="str">
        <x:v>Design</x:v>
      </x:c>
      <x:c r="F576" s="1" t="str">
        <x:v>Workbook</x:v>
      </x:c>
      <x:c r="G576" s="1" t="str">
        <x:v>Medium</x:v>
      </x:c>
      <x:c r="H576" s="1" t="str">
        <x:v>AI-Assisted</x:v>
      </x:c>
      <x:c r="I576" s="1" t="str">
        <x:v>Editorial QA</x:v>
      </x:c>
      <x:c r="J576" s="1" t="n">
        <x:v>26</x:v>
      </x:c>
      <x:c r="K576" s="6" t="n">
        <x:v>7.1</x:v>
      </x:c>
      <x:c r="L576" s="6" t="n">
        <x:v>13.4</x:v>
      </x:c>
      <x:c r="M576" s="6" t="n">
        <x:v>6.3</x:v>
      </x:c>
      <x:c r="N576" s="6" t="n">
        <x:v>7867.27</x:v>
      </x:c>
      <x:c r="O576" s="6" t="n">
        <x:v>14902.4</x:v>
      </x:c>
      <x:c r="P576" s="6" t="n">
        <x:v>7035.13</x:v>
      </x:c>
      <x:c r="Q576" s="1" t="n">
        <x:v>2</x:v>
      </x:c>
      <x:c r="R576" s="1" t="str"/>
      <x:c r="S576" s="7" t="n">
        <x:v>85.1</x:v>
      </x:c>
      <x:c r="T576" s="1" t="str"/>
      <x:c r="U576" s="1" t="str">
        <x:v>In Review</x:v>
      </x:c>
    </x:row>
    <x:row r="577">
      <x:c r="A577" s="1" t="str">
        <x:v>PUB-0576</x:v>
      </x:c>
      <x:c r="B577" s="5" t="n">
        <x:v>46040</x:v>
      </x:c>
      <x:c r="C577" s="5" t="n">
        <x:v>46045</x:v>
      </x:c>
      <x:c r="D577" s="5" t="str"/>
      <x:c r="E577" s="1" t="str">
        <x:v>Design</x:v>
      </x:c>
      <x:c r="F577" s="1" t="str">
        <x:v>Workbook</x:v>
      </x:c>
      <x:c r="G577" s="1" t="str">
        <x:v>Medium</x:v>
      </x:c>
      <x:c r="H577" s="1" t="str">
        <x:v>Manual</x:v>
      </x:c>
      <x:c r="I577" s="1" t="str">
        <x:v>Manual / NA</x:v>
      </x:c>
      <x:c r="J577" s="1" t="n">
        <x:v>26</x:v>
      </x:c>
      <x:c r="K577" s="6" t="n">
        <x:v>10.2</x:v>
      </x:c>
      <x:c r="L577" s="6" t="n">
        <x:v>9.6</x:v>
      </x:c>
      <x:c r="M577" s="6" t="n">
        <x:v>0</x:v>
      </x:c>
      <x:c r="N577" s="6" t="n">
        <x:v>8592.61</x:v>
      </x:c>
      <x:c r="O577" s="6" t="n">
        <x:v>8072.08</x:v>
      </x:c>
      <x:c r="P577" s="6" t="n">
        <x:v>0</x:v>
      </x:c>
      <x:c r="Q577" s="1" t="n">
        <x:v>0</x:v>
      </x:c>
      <x:c r="R577" s="1" t="str"/>
      <x:c r="S577" s="7" t="n">
        <x:v>79.7</x:v>
      </x:c>
      <x:c r="T577" s="1" t="str"/>
      <x:c r="U577" s="1" t="str">
        <x:v>In Progress</x:v>
      </x:c>
    </x:row>
    <x:row r="578">
      <x:c r="A578" s="1" t="str">
        <x:v>PUB-0577</x:v>
      </x:c>
      <x:c r="B578" s="5" t="n">
        <x:v>46014</x:v>
      </x:c>
      <x:c r="C578" s="5" t="n">
        <x:v>46027</x:v>
      </x:c>
      <x:c r="D578" s="5" t="n">
        <x:v>46020</x:v>
      </x:c>
      <x:c r="E578" s="1" t="str">
        <x:v>Design</x:v>
      </x:c>
      <x:c r="F578" s="1" t="str">
        <x:v>Workbook</x:v>
      </x:c>
      <x:c r="G578" s="1" t="str">
        <x:v>Medium</x:v>
      </x:c>
      <x:c r="H578" s="1" t="str">
        <x:v>AI-Assisted</x:v>
      </x:c>
      <x:c r="I578" s="1" t="str">
        <x:v>Editorial QA</x:v>
      </x:c>
      <x:c r="J578" s="1" t="n">
        <x:v>174</x:v>
      </x:c>
      <x:c r="K578" s="6" t="n">
        <x:v>42.5</x:v>
      </x:c>
      <x:c r="L578" s="6" t="n">
        <x:v>78.9</x:v>
      </x:c>
      <x:c r="M578" s="6" t="n">
        <x:v>36.4</x:v>
      </x:c>
      <x:c r="N578" s="6" t="n">
        <x:v>37776.67</x:v>
      </x:c>
      <x:c r="O578" s="6" t="n">
        <x:v>70106.62</x:v>
      </x:c>
      <x:c r="P578" s="6" t="n">
        <x:v>32329.95</x:v>
      </x:c>
      <x:c r="Q578" s="1" t="n">
        <x:v>0</x:v>
      </x:c>
      <x:c r="R578" s="1" t="str">
        <x:v>Yes</x:v>
      </x:c>
      <x:c r="S578" s="7" t="n">
        <x:v>83.5</x:v>
      </x:c>
      <x:c r="T578" s="1" t="str">
        <x:v>Yes</x:v>
      </x:c>
      <x:c r="U578" s="1" t="str">
        <x:v>Completed</x:v>
      </x:c>
    </x:row>
    <x:row r="579">
      <x:c r="A579" s="1" t="str">
        <x:v>PUB-0578</x:v>
      </x:c>
      <x:c r="B579" s="5" t="n">
        <x:v>45809</x:v>
      </x:c>
      <x:c r="C579" s="5" t="n">
        <x:v>45825</x:v>
      </x:c>
      <x:c r="D579" s="5" t="n">
        <x:v>45819</x:v>
      </x:c>
      <x:c r="E579" s="1" t="str">
        <x:v>Editorial</x:v>
      </x:c>
      <x:c r="F579" s="1" t="str">
        <x:v>Workbook</x:v>
      </x:c>
      <x:c r="G579" s="1" t="str">
        <x:v>Medium</x:v>
      </x:c>
      <x:c r="H579" s="1" t="str">
        <x:v>AI-Assisted</x:v>
      </x:c>
      <x:c r="I579" s="1" t="str">
        <x:v>Structured v3</x:v>
      </x:c>
      <x:c r="J579" s="1" t="n">
        <x:v>162</x:v>
      </x:c>
      <x:c r="K579" s="6" t="n">
        <x:v>42.5</x:v>
      </x:c>
      <x:c r="L579" s="6" t="n">
        <x:v>81.9</x:v>
      </x:c>
      <x:c r="M579" s="6" t="n">
        <x:v>39.4</x:v>
      </x:c>
      <x:c r="N579" s="6" t="n">
        <x:v>30105.53</x:v>
      </x:c>
      <x:c r="O579" s="6" t="n">
        <x:v>58040.08</x:v>
      </x:c>
      <x:c r="P579" s="6" t="n">
        <x:v>27934.55</x:v>
      </x:c>
      <x:c r="Q579" s="1" t="n">
        <x:v>2</x:v>
      </x:c>
      <x:c r="R579" s="1" t="str">
        <x:v>No</x:v>
      </x:c>
      <x:c r="S579" s="7" t="n">
        <x:v>92.4</x:v>
      </x:c>
      <x:c r="T579" s="1" t="str">
        <x:v>Yes</x:v>
      </x:c>
      <x:c r="U579" s="1" t="str">
        <x:v>Completed</x:v>
      </x:c>
    </x:row>
    <x:row r="580">
      <x:c r="A580" s="1" t="str">
        <x:v>PUB-0579</x:v>
      </x:c>
      <x:c r="B580" s="5" t="n">
        <x:v>45740</x:v>
      </x:c>
      <x:c r="C580" s="5" t="n">
        <x:v>45752</x:v>
      </x:c>
      <x:c r="D580" s="5" t="n">
        <x:v>45743</x:v>
      </x:c>
      <x:c r="E580" s="1" t="str">
        <x:v>Design</x:v>
      </x:c>
      <x:c r="F580" s="1" t="str">
        <x:v>School Textbook</x:v>
      </x:c>
      <x:c r="G580" s="1" t="str">
        <x:v>Medium</x:v>
      </x:c>
      <x:c r="H580" s="1" t="str">
        <x:v>AI-Assisted</x:v>
      </x:c>
      <x:c r="I580" s="1" t="str">
        <x:v>Visual Brief</x:v>
      </x:c>
      <x:c r="J580" s="1" t="n">
        <x:v>72</x:v>
      </x:c>
      <x:c r="K580" s="6" t="n">
        <x:v>20.6</x:v>
      </x:c>
      <x:c r="L580" s="6" t="n">
        <x:v>33.9</x:v>
      </x:c>
      <x:c r="M580" s="6" t="n">
        <x:v>13.3</x:v>
      </x:c>
      <x:c r="N580" s="6" t="n">
        <x:v>22522.5</x:v>
      </x:c>
      <x:c r="O580" s="6" t="n">
        <x:v>37009.33</x:v>
      </x:c>
      <x:c r="P580" s="6" t="n">
        <x:v>14486.83</x:v>
      </x:c>
      <x:c r="Q580" s="1" t="n">
        <x:v>0</x:v>
      </x:c>
      <x:c r="R580" s="1" t="str">
        <x:v>Yes</x:v>
      </x:c>
      <x:c r="S580" s="7" t="n">
        <x:v>88.1</x:v>
      </x:c>
      <x:c r="T580" s="1" t="str">
        <x:v>Yes</x:v>
      </x:c>
      <x:c r="U580" s="1" t="str">
        <x:v>Completed</x:v>
      </x:c>
    </x:row>
    <x:row r="581">
      <x:c r="A581" s="1" t="str">
        <x:v>PUB-0580</x:v>
      </x:c>
      <x:c r="B581" s="5" t="n">
        <x:v>46010</x:v>
      </x:c>
      <x:c r="C581" s="5" t="n">
        <x:v>46030</x:v>
      </x:c>
      <x:c r="D581" s="5" t="n">
        <x:v>46024</x:v>
      </x:c>
      <x:c r="E581" s="1" t="str">
        <x:v>Digital Learning</x:v>
      </x:c>
      <x:c r="F581" s="1" t="str">
        <x:v>Workbook</x:v>
      </x:c>
      <x:c r="G581" s="1" t="str">
        <x:v>Medium</x:v>
      </x:c>
      <x:c r="H581" s="1" t="str">
        <x:v>AI-Assisted</x:v>
      </x:c>
      <x:c r="I581" s="1" t="str">
        <x:v>Editorial QA</x:v>
      </x:c>
      <x:c r="J581" s="1" t="n">
        <x:v>186</x:v>
      </x:c>
      <x:c r="K581" s="6" t="n">
        <x:v>72.6</x:v>
      </x:c>
      <x:c r="L581" s="6" t="n">
        <x:v>107.3</x:v>
      </x:c>
      <x:c r="M581" s="6" t="n">
        <x:v>34.7</x:v>
      </x:c>
      <x:c r="N581" s="6" t="n">
        <x:v>47247.3</x:v>
      </x:c>
      <x:c r="O581" s="6" t="n">
        <x:v>69861.63</x:v>
      </x:c>
      <x:c r="P581" s="6" t="n">
        <x:v>22614.33</x:v>
      </x:c>
      <x:c r="Q581" s="1" t="n">
        <x:v>2</x:v>
      </x:c>
      <x:c r="R581" s="1" t="str">
        <x:v>No</x:v>
      </x:c>
      <x:c r="S581" s="7" t="n">
        <x:v>76.7</x:v>
      </x:c>
      <x:c r="T581" s="1" t="str">
        <x:v>Yes</x:v>
      </x:c>
      <x:c r="U581" s="1" t="str">
        <x:v>Completed</x:v>
      </x:c>
    </x:row>
    <x:row r="582">
      <x:c r="A582" s="1" t="str">
        <x:v>PUB-0581</x:v>
      </x:c>
      <x:c r="B582" s="5" t="n">
        <x:v>46099</x:v>
      </x:c>
      <x:c r="C582" s="5" t="n">
        <x:v>46105</x:v>
      </x:c>
      <x:c r="D582" s="5" t="str"/>
      <x:c r="E582" s="1" t="str">
        <x:v>Editorial</x:v>
      </x:c>
      <x:c r="F582" s="1" t="str">
        <x:v>Workbook</x:v>
      </x:c>
      <x:c r="G582" s="1" t="str">
        <x:v>Medium</x:v>
      </x:c>
      <x:c r="H582" s="1" t="str">
        <x:v>AI-Assisted</x:v>
      </x:c>
      <x:c r="I582" s="1" t="str">
        <x:v>Structured v3</x:v>
      </x:c>
      <x:c r="J582" s="1" t="n">
        <x:v>54</x:v>
      </x:c>
      <x:c r="K582" s="6" t="n">
        <x:v>12.8</x:v>
      </x:c>
      <x:c r="L582" s="6" t="n">
        <x:v>20.7</x:v>
      </x:c>
      <x:c r="M582" s="6" t="n">
        <x:v>7.9</x:v>
      </x:c>
      <x:c r="N582" s="6" t="n">
        <x:v>9680.47</x:v>
      </x:c>
      <x:c r="O582" s="6" t="n">
        <x:v>15692.67</x:v>
      </x:c>
      <x:c r="P582" s="6" t="n">
        <x:v>6012.2</x:v>
      </x:c>
      <x:c r="Q582" s="1" t="n">
        <x:v>0</x:v>
      </x:c>
      <x:c r="R582" s="1" t="str"/>
      <x:c r="S582" s="7" t="n">
        <x:v>89</x:v>
      </x:c>
      <x:c r="T582" s="1" t="str"/>
      <x:c r="U582" s="1" t="str">
        <x:v>In Progress</x:v>
      </x:c>
    </x:row>
    <x:row r="583">
      <x:c r="A583" s="1" t="str">
        <x:v>PUB-0582</x:v>
      </x:c>
      <x:c r="B583" s="5" t="n">
        <x:v>46076</x:v>
      </x:c>
      <x:c r="C583" s="5" t="n">
        <x:v>46083</x:v>
      </x:c>
      <x:c r="D583" s="5" t="n">
        <x:v>46077</x:v>
      </x:c>
      <x:c r="E583" s="1" t="str">
        <x:v>Design</x:v>
      </x:c>
      <x:c r="F583" s="1" t="str">
        <x:v>E-book</x:v>
      </x:c>
      <x:c r="G583" s="1" t="str">
        <x:v>Medium</x:v>
      </x:c>
      <x:c r="H583" s="1" t="str">
        <x:v>AI-Assisted</x:v>
      </x:c>
      <x:c r="I583" s="1" t="str">
        <x:v>Editorial QA</x:v>
      </x:c>
      <x:c r="J583" s="1" t="n">
        <x:v>28</x:v>
      </x:c>
      <x:c r="K583" s="6" t="n">
        <x:v>6.8</x:v>
      </x:c>
      <x:c r="L583" s="6" t="n">
        <x:v>12.4</x:v>
      </x:c>
      <x:c r="M583" s="6" t="n">
        <x:v>5.6</x:v>
      </x:c>
      <x:c r="N583" s="6" t="n">
        <x:v>5583.32</x:v>
      </x:c>
      <x:c r="O583" s="6" t="n">
        <x:v>10186.93</x:v>
      </x:c>
      <x:c r="P583" s="6" t="n">
        <x:v>4603.61</x:v>
      </x:c>
      <x:c r="Q583" s="1" t="n">
        <x:v>0</x:v>
      </x:c>
      <x:c r="R583" s="1" t="str">
        <x:v>Yes</x:v>
      </x:c>
      <x:c r="S583" s="7" t="n">
        <x:v>79</x:v>
      </x:c>
      <x:c r="T583" s="1" t="str">
        <x:v>Yes</x:v>
      </x:c>
      <x:c r="U583" s="1" t="str">
        <x:v>Completed</x:v>
      </x:c>
    </x:row>
    <x:row r="584">
      <x:c r="A584" s="1" t="str">
        <x:v>PUB-0583</x:v>
      </x:c>
      <x:c r="B584" s="5" t="n">
        <x:v>45761</x:v>
      </x:c>
      <x:c r="C584" s="5" t="n">
        <x:v>45780</x:v>
      </x:c>
      <x:c r="D584" s="5" t="n">
        <x:v>45777</x:v>
      </x:c>
      <x:c r="E584" s="1" t="str">
        <x:v>Editorial</x:v>
      </x:c>
      <x:c r="F584" s="1" t="str">
        <x:v>Workbook</x:v>
      </x:c>
      <x:c r="G584" s="1" t="str">
        <x:v>Medium</x:v>
      </x:c>
      <x:c r="H584" s="1" t="str">
        <x:v>Manual</x:v>
      </x:c>
      <x:c r="I584" s="1" t="str">
        <x:v>Manual / NA</x:v>
      </x:c>
      <x:c r="J584" s="1" t="n">
        <x:v>178</x:v>
      </x:c>
      <x:c r="K584" s="6" t="n">
        <x:v>92.4</x:v>
      </x:c>
      <x:c r="L584" s="6" t="n">
        <x:v>102.8</x:v>
      </x:c>
      <x:c r="M584" s="6" t="n">
        <x:v>10.4</x:v>
      </x:c>
      <x:c r="N584" s="6" t="n">
        <x:v>84191.86</x:v>
      </x:c>
      <x:c r="O584" s="6" t="n">
        <x:v>93627.13</x:v>
      </x:c>
      <x:c r="P584" s="6" t="n">
        <x:v>9435.27</x:v>
      </x:c>
      <x:c r="Q584" s="1" t="n">
        <x:v>2</x:v>
      </x:c>
      <x:c r="R584" s="1" t="str">
        <x:v>No</x:v>
      </x:c>
      <x:c r="S584" s="7" t="n">
        <x:v>91.1</x:v>
      </x:c>
      <x:c r="T584" s="1" t="str">
        <x:v>Yes</x:v>
      </x:c>
      <x:c r="U584" s="1" t="str">
        <x:v>Completed</x:v>
      </x:c>
    </x:row>
    <x:row r="585">
      <x:c r="A585" s="1" t="str">
        <x:v>PUB-0584</x:v>
      </x:c>
      <x:c r="B585" s="5" t="n">
        <x:v>46097</x:v>
      </x:c>
      <x:c r="C585" s="5" t="n">
        <x:v>46104</x:v>
      </x:c>
      <x:c r="D585" s="5" t="n">
        <x:v>46099</x:v>
      </x:c>
      <x:c r="E585" s="1" t="str">
        <x:v>Design</x:v>
      </x:c>
      <x:c r="F585" s="1" t="str">
        <x:v>Illustration</x:v>
      </x:c>
      <x:c r="G585" s="1" t="str">
        <x:v>High</x:v>
      </x:c>
      <x:c r="H585" s="1" t="str">
        <x:v>AI-Assisted</x:v>
      </x:c>
      <x:c r="I585" s="1" t="str">
        <x:v>Structured v3</x:v>
      </x:c>
      <x:c r="J585" s="1" t="n">
        <x:v>34</x:v>
      </x:c>
      <x:c r="K585" s="6" t="n">
        <x:v>13</x:v>
      </x:c>
      <x:c r="L585" s="6" t="n">
        <x:v>22.7</x:v>
      </x:c>
      <x:c r="M585" s="6" t="n">
        <x:v>9.7</x:v>
      </x:c>
      <x:c r="N585" s="6" t="n">
        <x:v>8822.07</x:v>
      </x:c>
      <x:c r="O585" s="6" t="n">
        <x:v>15420.65</x:v>
      </x:c>
      <x:c r="P585" s="6" t="n">
        <x:v>6598.58</x:v>
      </x:c>
      <x:c r="Q585" s="1" t="n">
        <x:v>0</x:v>
      </x:c>
      <x:c r="R585" s="1" t="str">
        <x:v>Yes</x:v>
      </x:c>
      <x:c r="S585" s="7" t="n">
        <x:v>88.2</x:v>
      </x:c>
      <x:c r="T585" s="1" t="str">
        <x:v>Yes</x:v>
      </x:c>
      <x:c r="U585" s="1" t="str">
        <x:v>Completed</x:v>
      </x:c>
    </x:row>
    <x:row r="586">
      <x:c r="A586" s="1" t="str">
        <x:v>PUB-0585</x:v>
      </x:c>
      <x:c r="B586" s="5" t="n">
        <x:v>46069</x:v>
      </x:c>
      <x:c r="C586" s="5" t="n">
        <x:v>46084</x:v>
      </x:c>
      <x:c r="D586" s="5" t="n">
        <x:v>46076</x:v>
      </x:c>
      <x:c r="E586" s="1" t="str">
        <x:v>Production</x:v>
      </x:c>
      <x:c r="F586" s="1" t="str">
        <x:v>E-book</x:v>
      </x:c>
      <x:c r="G586" s="1" t="str">
        <x:v>Medium</x:v>
      </x:c>
      <x:c r="H586" s="1" t="str">
        <x:v>AI-Assisted</x:v>
      </x:c>
      <x:c r="I586" s="1" t="str">
        <x:v>Editorial QA</x:v>
      </x:c>
      <x:c r="J586" s="1" t="n">
        <x:v>143</x:v>
      </x:c>
      <x:c r="K586" s="6" t="n">
        <x:v>49.6</x:v>
      </x:c>
      <x:c r="L586" s="6" t="n">
        <x:v>73.5</x:v>
      </x:c>
      <x:c r="M586" s="6" t="n">
        <x:v>23.9</x:v>
      </x:c>
      <x:c r="N586" s="6" t="n">
        <x:v>41377.06</x:v>
      </x:c>
      <x:c r="O586" s="6" t="n">
        <x:v>61297.17</x:v>
      </x:c>
      <x:c r="P586" s="6" t="n">
        <x:v>19920.11</x:v>
      </x:c>
      <x:c r="Q586" s="1" t="n">
        <x:v>0</x:v>
      </x:c>
      <x:c r="R586" s="1" t="str">
        <x:v>Yes</x:v>
      </x:c>
      <x:c r="S586" s="7" t="n">
        <x:v>85.6</x:v>
      </x:c>
      <x:c r="T586" s="1" t="str">
        <x:v>Yes</x:v>
      </x:c>
      <x:c r="U586" s="1" t="str">
        <x:v>Completed</x:v>
      </x:c>
    </x:row>
    <x:row r="587">
      <x:c r="A587" s="1" t="str">
        <x:v>PUB-0586</x:v>
      </x:c>
      <x:c r="B587" s="5" t="n">
        <x:v>45987</x:v>
      </x:c>
      <x:c r="C587" s="5" t="n">
        <x:v>45996</x:v>
      </x:c>
      <x:c r="D587" s="5" t="str"/>
      <x:c r="E587" s="1" t="str">
        <x:v>Editorial</x:v>
      </x:c>
      <x:c r="F587" s="1" t="str">
        <x:v>Workbook</x:v>
      </x:c>
      <x:c r="G587" s="1" t="str">
        <x:v>Medium</x:v>
      </x:c>
      <x:c r="H587" s="1" t="str">
        <x:v>AI-Assisted</x:v>
      </x:c>
      <x:c r="I587" s="1" t="str">
        <x:v>Editorial QA</x:v>
      </x:c>
      <x:c r="J587" s="1" t="n">
        <x:v>91</x:v>
      </x:c>
      <x:c r="K587" s="6" t="n">
        <x:v>22.3</x:v>
      </x:c>
      <x:c r="L587" s="6" t="n">
        <x:v>37.4</x:v>
      </x:c>
      <x:c r="M587" s="6" t="n">
        <x:v>15.1</x:v>
      </x:c>
      <x:c r="N587" s="6" t="n">
        <x:v>22737.13</x:v>
      </x:c>
      <x:c r="O587" s="6" t="n">
        <x:v>38169.67</x:v>
      </x:c>
      <x:c r="P587" s="6" t="n">
        <x:v>15432.54</x:v>
      </x:c>
      <x:c r="Q587" s="1" t="n">
        <x:v>0</x:v>
      </x:c>
      <x:c r="R587" s="1" t="str"/>
      <x:c r="S587" s="7" t="n">
        <x:v>83.8</x:v>
      </x:c>
      <x:c r="T587" s="1" t="str"/>
      <x:c r="U587" s="1" t="str">
        <x:v>In Review</x:v>
      </x:c>
    </x:row>
    <x:row r="588">
      <x:c r="A588" s="1" t="str">
        <x:v>PUB-0587</x:v>
      </x:c>
      <x:c r="B588" s="5" t="n">
        <x:v>46145</x:v>
      </x:c>
      <x:c r="C588" s="5" t="n">
        <x:v>46160</x:v>
      </x:c>
      <x:c r="D588" s="5" t="n">
        <x:v>46158</x:v>
      </x:c>
      <x:c r="E588" s="1" t="str">
        <x:v>Digital Learning</x:v>
      </x:c>
      <x:c r="F588" s="1" t="str">
        <x:v>E-book</x:v>
      </x:c>
      <x:c r="G588" s="1" t="str">
        <x:v>Medium</x:v>
      </x:c>
      <x:c r="H588" s="1" t="str">
        <x:v>Manual</x:v>
      </x:c>
      <x:c r="I588" s="1" t="str">
        <x:v>Manual / NA</x:v>
      </x:c>
      <x:c r="J588" s="1" t="n">
        <x:v>195</x:v>
      </x:c>
      <x:c r="K588" s="6" t="n">
        <x:v>98.4</x:v>
      </x:c>
      <x:c r="L588" s="6" t="n">
        <x:v>96.2</x:v>
      </x:c>
      <x:c r="M588" s="6" t="n">
        <x:v>0</x:v>
      </x:c>
      <x:c r="N588" s="6" t="n">
        <x:v>106757.05</x:v>
      </x:c>
      <x:c r="O588" s="6" t="n">
        <x:v>104422.02</x:v>
      </x:c>
      <x:c r="P588" s="6" t="n">
        <x:v>0</x:v>
      </x:c>
      <x:c r="Q588" s="1" t="n">
        <x:v>0</x:v>
      </x:c>
      <x:c r="R588" s="1" t="str">
        <x:v>Yes</x:v>
      </x:c>
      <x:c r="S588" s="7" t="n">
        <x:v>86.9</x:v>
      </x:c>
      <x:c r="T588" s="1" t="str">
        <x:v>Yes</x:v>
      </x:c>
      <x:c r="U588" s="1" t="str">
        <x:v>Completed</x:v>
      </x:c>
    </x:row>
    <x:row r="589">
      <x:c r="A589" s="1" t="str">
        <x:v>PUB-0588</x:v>
      </x:c>
      <x:c r="B589" s="5" t="n">
        <x:v>45747</x:v>
      </x:c>
      <x:c r="C589" s="5" t="n">
        <x:v>45757</x:v>
      </x:c>
      <x:c r="D589" s="5" t="n">
        <x:v>45751</x:v>
      </x:c>
      <x:c r="E589" s="1" t="str">
        <x:v>Editorial</x:v>
      </x:c>
      <x:c r="F589" s="1" t="str">
        <x:v>Illustration</x:v>
      </x:c>
      <x:c r="G589" s="1" t="str">
        <x:v>High</x:v>
      </x:c>
      <x:c r="H589" s="1" t="str">
        <x:v>AI-Assisted</x:v>
      </x:c>
      <x:c r="I589" s="1" t="str">
        <x:v>Visual Brief</x:v>
      </x:c>
      <x:c r="J589" s="1" t="n">
        <x:v>25</x:v>
      </x:c>
      <x:c r="K589" s="6" t="n">
        <x:v>11.2</x:v>
      </x:c>
      <x:c r="L589" s="6" t="n">
        <x:v>18.8</x:v>
      </x:c>
      <x:c r="M589" s="6" t="n">
        <x:v>7.6</x:v>
      </x:c>
      <x:c r="N589" s="6" t="n">
        <x:v>10307.74</x:v>
      </x:c>
      <x:c r="O589" s="6" t="n">
        <x:v>17314.86</x:v>
      </x:c>
      <x:c r="P589" s="6" t="n">
        <x:v>7007.12</x:v>
      </x:c>
      <x:c r="Q589" s="1" t="n">
        <x:v>1</x:v>
      </x:c>
      <x:c r="R589" s="1" t="str">
        <x:v>No</x:v>
      </x:c>
      <x:c r="S589" s="7" t="n">
        <x:v>78.9</x:v>
      </x:c>
      <x:c r="T589" s="1" t="str">
        <x:v>Yes</x:v>
      </x:c>
      <x:c r="U589" s="1" t="str">
        <x:v>Completed</x:v>
      </x:c>
    </x:row>
    <x:row r="590">
      <x:c r="A590" s="1" t="str">
        <x:v>PUB-0589</x:v>
      </x:c>
      <x:c r="B590" s="5" t="n">
        <x:v>46103</x:v>
      </x:c>
      <x:c r="C590" s="5" t="n">
        <x:v>46114</x:v>
      </x:c>
      <x:c r="D590" s="5" t="n">
        <x:v>46111</x:v>
      </x:c>
      <x:c r="E590" s="1" t="str">
        <x:v>Digital Learning</x:v>
      </x:c>
      <x:c r="F590" s="1" t="str">
        <x:v>School Textbook</x:v>
      </x:c>
      <x:c r="G590" s="1" t="str">
        <x:v>High</x:v>
      </x:c>
      <x:c r="H590" s="1" t="str">
        <x:v>Manual</x:v>
      </x:c>
      <x:c r="I590" s="1" t="str">
        <x:v>Manual / NA</x:v>
      </x:c>
      <x:c r="J590" s="1" t="n">
        <x:v>91</x:v>
      </x:c>
      <x:c r="K590" s="6" t="n">
        <x:v>58.7</x:v>
      </x:c>
      <x:c r="L590" s="6" t="n">
        <x:v>63.5</x:v>
      </x:c>
      <x:c r="M590" s="6" t="n">
        <x:v>4.8</x:v>
      </x:c>
      <x:c r="N590" s="6" t="n">
        <x:v>45716.4</x:v>
      </x:c>
      <x:c r="O590" s="6" t="n">
        <x:v>49450.02</x:v>
      </x:c>
      <x:c r="P590" s="6" t="n">
        <x:v>3733.62</x:v>
      </x:c>
      <x:c r="Q590" s="1" t="n">
        <x:v>0</x:v>
      </x:c>
      <x:c r="R590" s="1" t="str">
        <x:v>Yes</x:v>
      </x:c>
      <x:c r="S590" s="7" t="n">
        <x:v>87.3</x:v>
      </x:c>
      <x:c r="T590" s="1" t="str">
        <x:v>Yes</x:v>
      </x:c>
      <x:c r="U590" s="1" t="str">
        <x:v>Completed</x:v>
      </x:c>
    </x:row>
    <x:row r="591">
      <x:c r="A591" s="1" t="str">
        <x:v>PUB-0590</x:v>
      </x:c>
      <x:c r="B591" s="5" t="n">
        <x:v>46161</x:v>
      </x:c>
      <x:c r="C591" s="5" t="n">
        <x:v>46170</x:v>
      </x:c>
      <x:c r="D591" s="5" t="str"/>
      <x:c r="E591" s="1" t="str">
        <x:v>Editorial</x:v>
      </x:c>
      <x:c r="F591" s="1" t="str">
        <x:v>Illustration</x:v>
      </x:c>
      <x:c r="G591" s="1" t="str">
        <x:v>Medium</x:v>
      </x:c>
      <x:c r="H591" s="1" t="str">
        <x:v>Manual</x:v>
      </x:c>
      <x:c r="I591" s="1" t="str">
        <x:v>Manual / NA</x:v>
      </x:c>
      <x:c r="J591" s="1" t="n">
        <x:v>12</x:v>
      </x:c>
      <x:c r="K591" s="6" t="n">
        <x:v>5.4</x:v>
      </x:c>
      <x:c r="L591" s="6" t="n">
        <x:v>5.3</x:v>
      </x:c>
      <x:c r="M591" s="6" t="n">
        <x:v>0</x:v>
      </x:c>
      <x:c r="N591" s="6" t="n">
        <x:v>5497.21</x:v>
      </x:c>
      <x:c r="O591" s="6" t="n">
        <x:v>5410.99</x:v>
      </x:c>
      <x:c r="P591" s="6" t="n">
        <x:v>0</x:v>
      </x:c>
      <x:c r="Q591" s="1" t="n">
        <x:v>0</x:v>
      </x:c>
      <x:c r="R591" s="1" t="str"/>
      <x:c r="S591" s="7" t="n">
        <x:v>83.3</x:v>
      </x:c>
      <x:c r="T591" s="1" t="str"/>
      <x:c r="U591" s="1" t="str">
        <x:v>In Progress</x:v>
      </x:c>
    </x:row>
    <x:row r="592">
      <x:c r="A592" s="1" t="str">
        <x:v>PUB-0591</x:v>
      </x:c>
      <x:c r="B592" s="5" t="n">
        <x:v>46105</x:v>
      </x:c>
      <x:c r="C592" s="5" t="n">
        <x:v>46112</x:v>
      </x:c>
      <x:c r="D592" s="5" t="n">
        <x:v>46106</x:v>
      </x:c>
      <x:c r="E592" s="1" t="str">
        <x:v>Digital Learning</x:v>
      </x:c>
      <x:c r="F592" s="1" t="str">
        <x:v>School Textbook</x:v>
      </x:c>
      <x:c r="G592" s="1" t="str">
        <x:v>Medium</x:v>
      </x:c>
      <x:c r="H592" s="1" t="str">
        <x:v>AI-Assisted</x:v>
      </x:c>
      <x:c r="I592" s="1" t="str">
        <x:v>Structured v3</x:v>
      </x:c>
      <x:c r="J592" s="1" t="n">
        <x:v>30</x:v>
      </x:c>
      <x:c r="K592" s="6" t="n">
        <x:v>7.7</x:v>
      </x:c>
      <x:c r="L592" s="6" t="n">
        <x:v>14.7</x:v>
      </x:c>
      <x:c r="M592" s="6" t="n">
        <x:v>7</x:v>
      </x:c>
      <x:c r="N592" s="6" t="n">
        <x:v>8631.73</x:v>
      </x:c>
      <x:c r="O592" s="6" t="n">
        <x:v>16488.31</x:v>
      </x:c>
      <x:c r="P592" s="6" t="n">
        <x:v>7856.58</x:v>
      </x:c>
      <x:c r="Q592" s="1" t="n">
        <x:v>0</x:v>
      </x:c>
      <x:c r="R592" s="1" t="str">
        <x:v>Yes</x:v>
      </x:c>
      <x:c r="S592" s="7" t="n">
        <x:v>92.3</x:v>
      </x:c>
      <x:c r="T592" s="1" t="str">
        <x:v>Yes</x:v>
      </x:c>
      <x:c r="U592" s="1" t="str">
        <x:v>Completed</x:v>
      </x:c>
    </x:row>
    <x:row r="593">
      <x:c r="A593" s="1" t="str">
        <x:v>PUB-0592</x:v>
      </x:c>
      <x:c r="B593" s="5" t="n">
        <x:v>45976</x:v>
      </x:c>
      <x:c r="C593" s="5" t="n">
        <x:v>45985</x:v>
      </x:c>
      <x:c r="D593" s="5" t="n">
        <x:v>45979</x:v>
      </x:c>
      <x:c r="E593" s="1" t="str">
        <x:v>Editorial</x:v>
      </x:c>
      <x:c r="F593" s="1" t="str">
        <x:v>Assessment</x:v>
      </x:c>
      <x:c r="G593" s="1" t="str">
        <x:v>Medium</x:v>
      </x:c>
      <x:c r="H593" s="1" t="str">
        <x:v>Manual</x:v>
      </x:c>
      <x:c r="I593" s="1" t="str">
        <x:v>Manual / NA</x:v>
      </x:c>
      <x:c r="J593" s="1" t="n">
        <x:v>58</x:v>
      </x:c>
      <x:c r="K593" s="6" t="n">
        <x:v>25.9</x:v>
      </x:c>
      <x:c r="L593" s="6" t="n">
        <x:v>25.5</x:v>
      </x:c>
      <x:c r="M593" s="6" t="n">
        <x:v>0</x:v>
      </x:c>
      <x:c r="N593" s="6" t="n">
        <x:v>27150.52</x:v>
      </x:c>
      <x:c r="O593" s="6" t="n">
        <x:v>26770.73</x:v>
      </x:c>
      <x:c r="P593" s="6" t="n">
        <x:v>0</x:v>
      </x:c>
      <x:c r="Q593" s="1" t="n">
        <x:v>0</x:v>
      </x:c>
      <x:c r="R593" s="1" t="str">
        <x:v>Yes</x:v>
      </x:c>
      <x:c r="S593" s="7" t="n">
        <x:v>88.4</x:v>
      </x:c>
      <x:c r="T593" s="1" t="str">
        <x:v>Yes</x:v>
      </x:c>
      <x:c r="U593" s="1" t="str">
        <x:v>Completed</x:v>
      </x:c>
    </x:row>
    <x:row r="594">
      <x:c r="A594" s="1" t="str">
        <x:v>PUB-0593</x:v>
      </x:c>
      <x:c r="B594" s="5" t="n">
        <x:v>46062</x:v>
      </x:c>
      <x:c r="C594" s="5" t="n">
        <x:v>46075</x:v>
      </x:c>
      <x:c r="D594" s="5" t="n">
        <x:v>46070</x:v>
      </x:c>
      <x:c r="E594" s="1" t="str">
        <x:v>Editorial</x:v>
      </x:c>
      <x:c r="F594" s="1" t="str">
        <x:v>E-book</x:v>
      </x:c>
      <x:c r="G594" s="1" t="str">
        <x:v>High</x:v>
      </x:c>
      <x:c r="H594" s="1" t="str">
        <x:v>AI-Assisted</x:v>
      </x:c>
      <x:c r="I594" s="1" t="str">
        <x:v>Visual Brief</x:v>
      </x:c>
      <x:c r="J594" s="1" t="n">
        <x:v>83</x:v>
      </x:c>
      <x:c r="K594" s="6" t="n">
        <x:v>30.3</x:v>
      </x:c>
      <x:c r="L594" s="6" t="n">
        <x:v>51.5</x:v>
      </x:c>
      <x:c r="M594" s="6" t="n">
        <x:v>21.2</x:v>
      </x:c>
      <x:c r="N594" s="6" t="n">
        <x:v>28807.2</x:v>
      </x:c>
      <x:c r="O594" s="6" t="n">
        <x:v>48952.43</x:v>
      </x:c>
      <x:c r="P594" s="6" t="n">
        <x:v>20145.23</x:v>
      </x:c>
      <x:c r="Q594" s="1" t="n">
        <x:v>2</x:v>
      </x:c>
      <x:c r="R594" s="1" t="str">
        <x:v>No</x:v>
      </x:c>
      <x:c r="S594" s="7" t="n">
        <x:v>88.5</x:v>
      </x:c>
      <x:c r="T594" s="1" t="str">
        <x:v>Yes</x:v>
      </x:c>
      <x:c r="U594" s="1" t="str">
        <x:v>Completed</x:v>
      </x:c>
    </x:row>
    <x:row r="595">
      <x:c r="A595" s="1" t="str">
        <x:v>PUB-0594</x:v>
      </x:c>
      <x:c r="B595" s="5" t="n">
        <x:v>45784</x:v>
      </x:c>
      <x:c r="C595" s="5" t="n">
        <x:v>45796</x:v>
      </x:c>
      <x:c r="D595" s="5" t="n">
        <x:v>45786</x:v>
      </x:c>
      <x:c r="E595" s="1" t="str">
        <x:v>Editorial</x:v>
      </x:c>
      <x:c r="F595" s="1" t="str">
        <x:v>E-book</x:v>
      </x:c>
      <x:c r="G595" s="1" t="str">
        <x:v>Medium</x:v>
      </x:c>
      <x:c r="H595" s="1" t="str">
        <x:v>AI-Assisted</x:v>
      </x:c>
      <x:c r="I595" s="1" t="str">
        <x:v>Editorial QA</x:v>
      </x:c>
      <x:c r="J595" s="1" t="n">
        <x:v>63</x:v>
      </x:c>
      <x:c r="K595" s="6" t="n">
        <x:v>18.5</x:v>
      </x:c>
      <x:c r="L595" s="6" t="n">
        <x:v>32.4</x:v>
      </x:c>
      <x:c r="M595" s="6" t="n">
        <x:v>13.9</x:v>
      </x:c>
      <x:c r="N595" s="6" t="n">
        <x:v>21100.57</x:v>
      </x:c>
      <x:c r="O595" s="6" t="n">
        <x:v>36999.44</x:v>
      </x:c>
      <x:c r="P595" s="6" t="n">
        <x:v>15898.87</x:v>
      </x:c>
      <x:c r="Q595" s="1" t="n">
        <x:v>0</x:v>
      </x:c>
      <x:c r="R595" s="1" t="str">
        <x:v>Yes</x:v>
      </x:c>
      <x:c r="S595" s="7" t="n">
        <x:v>80.9</x:v>
      </x:c>
      <x:c r="T595" s="1" t="str">
        <x:v>Yes</x:v>
      </x:c>
      <x:c r="U595" s="1" t="str">
        <x:v>Completed</x:v>
      </x:c>
    </x:row>
    <x:row r="596">
      <x:c r="A596" s="1" t="str">
        <x:v>PUB-0595</x:v>
      </x:c>
      <x:c r="B596" s="5" t="n">
        <x:v>45888</x:v>
      </x:c>
      <x:c r="C596" s="5" t="n">
        <x:v>45898</x:v>
      </x:c>
      <x:c r="D596" s="5" t="n">
        <x:v>45893</x:v>
      </x:c>
      <x:c r="E596" s="1" t="str">
        <x:v>Production</x:v>
      </x:c>
      <x:c r="F596" s="1" t="str">
        <x:v>School Textbook</x:v>
      </x:c>
      <x:c r="G596" s="1" t="str">
        <x:v>High</x:v>
      </x:c>
      <x:c r="H596" s="1" t="str">
        <x:v>Manual</x:v>
      </x:c>
      <x:c r="I596" s="1" t="str">
        <x:v>Manual / NA</x:v>
      </x:c>
      <x:c r="J596" s="1" t="n">
        <x:v>53</x:v>
      </x:c>
      <x:c r="K596" s="6" t="n">
        <x:v>34.2</x:v>
      </x:c>
      <x:c r="L596" s="6" t="n">
        <x:v>36.4</x:v>
      </x:c>
      <x:c r="M596" s="6" t="n">
        <x:v>2.2</x:v>
      </x:c>
      <x:c r="N596" s="6" t="n">
        <x:v>36166.71</x:v>
      </x:c>
      <x:c r="O596" s="6" t="n">
        <x:v>38473.22</x:v>
      </x:c>
      <x:c r="P596" s="6" t="n">
        <x:v>2306.51</x:v>
      </x:c>
      <x:c r="Q596" s="1" t="n">
        <x:v>0</x:v>
      </x:c>
      <x:c r="R596" s="1" t="str">
        <x:v>Yes</x:v>
      </x:c>
      <x:c r="S596" s="7" t="n">
        <x:v>85.6</x:v>
      </x:c>
      <x:c r="T596" s="1" t="str">
        <x:v>Yes</x:v>
      </x:c>
      <x:c r="U596" s="1" t="str">
        <x:v>Completed</x:v>
      </x:c>
    </x:row>
    <x:row r="597">
      <x:c r="A597" s="1" t="str">
        <x:v>PUB-0596</x:v>
      </x:c>
      <x:c r="B597" s="5" t="n">
        <x:v>46142</x:v>
      </x:c>
      <x:c r="C597" s="5" t="n">
        <x:v>46153</x:v>
      </x:c>
      <x:c r="D597" s="5" t="n">
        <x:v>46147</x:v>
      </x:c>
      <x:c r="E597" s="1" t="str">
        <x:v>Digital Learning</x:v>
      </x:c>
      <x:c r="F597" s="1" t="str">
        <x:v>Illustration</x:v>
      </x:c>
      <x:c r="G597" s="1" t="str">
        <x:v>Medium</x:v>
      </x:c>
      <x:c r="H597" s="1" t="str">
        <x:v>AI-Assisted</x:v>
      </x:c>
      <x:c r="I597" s="1" t="str">
        <x:v>Few-shot v2</x:v>
      </x:c>
      <x:c r="J597" s="1" t="n">
        <x:v>40</x:v>
      </x:c>
      <x:c r="K597" s="6" t="n">
        <x:v>14.6</x:v>
      </x:c>
      <x:c r="L597" s="6" t="n">
        <x:v>22.5</x:v>
      </x:c>
      <x:c r="M597" s="6" t="n">
        <x:v>7.9</x:v>
      </x:c>
      <x:c r="N597" s="6" t="n">
        <x:v>13490.47</x:v>
      </x:c>
      <x:c r="O597" s="6" t="n">
        <x:v>20811.33</x:v>
      </x:c>
      <x:c r="P597" s="6" t="n">
        <x:v>7320.86</x:v>
      </x:c>
      <x:c r="Q597" s="1" t="n">
        <x:v>1</x:v>
      </x:c>
      <x:c r="R597" s="1" t="str">
        <x:v>No</x:v>
      </x:c>
      <x:c r="S597" s="7" t="n">
        <x:v>88.4</x:v>
      </x:c>
      <x:c r="T597" s="1" t="str">
        <x:v>Yes</x:v>
      </x:c>
      <x:c r="U597" s="1" t="str">
        <x:v>Completed</x:v>
      </x:c>
    </x:row>
    <x:row r="598">
      <x:c r="A598" s="1" t="str">
        <x:v>PUB-0597</x:v>
      </x:c>
      <x:c r="B598" s="5" t="n">
        <x:v>45713</x:v>
      </x:c>
      <x:c r="C598" s="5" t="n">
        <x:v>45719</x:v>
      </x:c>
      <x:c r="D598" s="5" t="n">
        <x:v>45714</x:v>
      </x:c>
      <x:c r="E598" s="1" t="str">
        <x:v>Digital Learning</x:v>
      </x:c>
      <x:c r="F598" s="1" t="str">
        <x:v>Illustration</x:v>
      </x:c>
      <x:c r="G598" s="1" t="str">
        <x:v>Medium</x:v>
      </x:c>
      <x:c r="H598" s="1" t="str">
        <x:v>AI-Assisted</x:v>
      </x:c>
      <x:c r="I598" s="1" t="str">
        <x:v>Structured v3</x:v>
      </x:c>
      <x:c r="J598" s="1" t="n">
        <x:v>21</x:v>
      </x:c>
      <x:c r="K598" s="6" t="n">
        <x:v>6.8</x:v>
      </x:c>
      <x:c r="L598" s="6" t="n">
        <x:v>9.8</x:v>
      </x:c>
      <x:c r="M598" s="6" t="n">
        <x:v>3</x:v>
      </x:c>
      <x:c r="N598" s="6" t="n">
        <x:v>5133.21</x:v>
      </x:c>
      <x:c r="O598" s="6" t="n">
        <x:v>7389.46</x:v>
      </x:c>
      <x:c r="P598" s="6" t="n">
        <x:v>2256.25</x:v>
      </x:c>
      <x:c r="Q598" s="1" t="n">
        <x:v>0</x:v>
      </x:c>
      <x:c r="R598" s="1" t="str">
        <x:v>Yes</x:v>
      </x:c>
      <x:c r="S598" s="7" t="n">
        <x:v>91.7</x:v>
      </x:c>
      <x:c r="T598" s="1" t="str">
        <x:v>Yes</x:v>
      </x:c>
      <x:c r="U598" s="1" t="str">
        <x:v>Completed</x:v>
      </x:c>
    </x:row>
    <x:row r="599">
      <x:c r="A599" s="1" t="str">
        <x:v>PUB-0598</x:v>
      </x:c>
      <x:c r="B599" s="5" t="n">
        <x:v>45762</x:v>
      </x:c>
      <x:c r="C599" s="5" t="n">
        <x:v>45770</x:v>
      </x:c>
      <x:c r="D599" s="5" t="str"/>
      <x:c r="E599" s="1" t="str">
        <x:v>Production</x:v>
      </x:c>
      <x:c r="F599" s="1" t="str">
        <x:v>E-book</x:v>
      </x:c>
      <x:c r="G599" s="1" t="str">
        <x:v>Medium</x:v>
      </x:c>
      <x:c r="H599" s="1" t="str">
        <x:v>AI-Assisted</x:v>
      </x:c>
      <x:c r="I599" s="1" t="str">
        <x:v>Visual Brief</x:v>
      </x:c>
      <x:c r="J599" s="1" t="n">
        <x:v>117</x:v>
      </x:c>
      <x:c r="K599" s="6" t="n">
        <x:v>22.9</x:v>
      </x:c>
      <x:c r="L599" s="6" t="n">
        <x:v>46.5</x:v>
      </x:c>
      <x:c r="M599" s="6" t="n">
        <x:v>23.6</x:v>
      </x:c>
      <x:c r="N599" s="6" t="n">
        <x:v>18956.44</x:v>
      </x:c>
      <x:c r="O599" s="6" t="n">
        <x:v>38450.98</x:v>
      </x:c>
      <x:c r="P599" s="6" t="n">
        <x:v>19494.54</x:v>
      </x:c>
      <x:c r="Q599" s="1" t="n">
        <x:v>0</x:v>
      </x:c>
      <x:c r="R599" s="1" t="str"/>
      <x:c r="S599" s="7" t="n">
        <x:v>96.5</x:v>
      </x:c>
      <x:c r="T599" s="1" t="str"/>
      <x:c r="U599" s="1" t="str">
        <x:v>In Progress</x:v>
      </x:c>
    </x:row>
    <x:row r="600">
      <x:c r="A600" s="1" t="str">
        <x:v>PUB-0599</x:v>
      </x:c>
      <x:c r="B600" s="5" t="n">
        <x:v>46004</x:v>
      </x:c>
      <x:c r="C600" s="5" t="n">
        <x:v>46014</x:v>
      </x:c>
      <x:c r="D600" s="5" t="n">
        <x:v>46005</x:v>
      </x:c>
      <x:c r="E600" s="1" t="str">
        <x:v>Production</x:v>
      </x:c>
      <x:c r="F600" s="1" t="str">
        <x:v>E-book</x:v>
      </x:c>
      <x:c r="G600" s="1" t="str">
        <x:v>Low</x:v>
      </x:c>
      <x:c r="H600" s="1" t="str">
        <x:v>AI-Assisted</x:v>
      </x:c>
      <x:c r="I600" s="1" t="str">
        <x:v>Few-shot v2</x:v>
      </x:c>
      <x:c r="J600" s="1" t="n">
        <x:v>16</x:v>
      </x:c>
      <x:c r="K600" s="6" t="n">
        <x:v>3.2</x:v>
      </x:c>
      <x:c r="L600" s="6" t="n">
        <x:v>5.9</x:v>
      </x:c>
      <x:c r="M600" s="6" t="n">
        <x:v>2.7</x:v>
      </x:c>
      <x:c r="N600" s="6" t="n">
        <x:v>3033.85</x:v>
      </x:c>
      <x:c r="O600" s="6" t="n">
        <x:v>5563.39</x:v>
      </x:c>
      <x:c r="P600" s="6" t="n">
        <x:v>2529.54</x:v>
      </x:c>
      <x:c r="Q600" s="1" t="n">
        <x:v>0</x:v>
      </x:c>
      <x:c r="R600" s="1" t="str">
        <x:v>Yes</x:v>
      </x:c>
      <x:c r="S600" s="7" t="n">
        <x:v>88.7</x:v>
      </x:c>
      <x:c r="T600" s="1" t="str">
        <x:v>Yes</x:v>
      </x:c>
      <x:c r="U600" s="1" t="str">
        <x:v>Completed</x:v>
      </x:c>
    </x:row>
    <x:row r="601">
      <x:c r="A601" s="1" t="str">
        <x:v>PUB-0600</x:v>
      </x:c>
      <x:c r="B601" s="5" t="n">
        <x:v>46132</x:v>
      </x:c>
      <x:c r="C601" s="5" t="n">
        <x:v>46137</x:v>
      </x:c>
      <x:c r="D601" s="5" t="n">
        <x:v>46133</x:v>
      </x:c>
      <x:c r="E601" s="1" t="str">
        <x:v>Digital Learning</x:v>
      </x:c>
      <x:c r="F601" s="1" t="str">
        <x:v>Assessment</x:v>
      </x:c>
      <x:c r="G601" s="1" t="str">
        <x:v>Low</x:v>
      </x:c>
      <x:c r="H601" s="1" t="str">
        <x:v>AI-Assisted</x:v>
      </x:c>
      <x:c r="I601" s="1" t="str">
        <x:v>Editorial QA</x:v>
      </x:c>
      <x:c r="J601" s="1" t="n">
        <x:v>51</x:v>
      </x:c>
      <x:c r="K601" s="6" t="n">
        <x:v>8.2</x:v>
      </x:c>
      <x:c r="L601" s="6" t="n">
        <x:v>16.1</x:v>
      </x:c>
      <x:c r="M601" s="6" t="n">
        <x:v>7.9</x:v>
      </x:c>
      <x:c r="N601" s="6" t="n">
        <x:v>7959.78</x:v>
      </x:c>
      <x:c r="O601" s="6" t="n">
        <x:v>15655.74</x:v>
      </x:c>
      <x:c r="P601" s="6" t="n">
        <x:v>7695.96</x:v>
      </x:c>
      <x:c r="Q601" s="1" t="n">
        <x:v>0</x:v>
      </x:c>
      <x:c r="R601" s="1" t="str">
        <x:v>Yes</x:v>
      </x:c>
      <x:c r="S601" s="7" t="n">
        <x:v>79.5</x:v>
      </x:c>
      <x:c r="T601" s="1" t="str">
        <x:v>Yes</x:v>
      </x:c>
      <x:c r="U601" s="1" t="str">
        <x:v>Completed</x:v>
      </x:c>
    </x:row>
    <x:row r="602">
      <x:c r="A602" s="1" t="str">
        <x:v>PUB-0601</x:v>
      </x:c>
      <x:c r="B602" s="5" t="n">
        <x:v>46149</x:v>
      </x:c>
      <x:c r="C602" s="5" t="n">
        <x:v>46157</x:v>
      </x:c>
      <x:c r="D602" s="5" t="n">
        <x:v>46152</x:v>
      </x:c>
      <x:c r="E602" s="1" t="str">
        <x:v>Editorial</x:v>
      </x:c>
      <x:c r="F602" s="1" t="str">
        <x:v>Illustration</x:v>
      </x:c>
      <x:c r="G602" s="1" t="str">
        <x:v>Medium</x:v>
      </x:c>
      <x:c r="H602" s="1" t="str">
        <x:v>Manual</x:v>
      </x:c>
      <x:c r="I602" s="1" t="str">
        <x:v>Manual / NA</x:v>
      </x:c>
      <x:c r="J602" s="1" t="n">
        <x:v>27</x:v>
      </x:c>
      <x:c r="K602" s="6" t="n">
        <x:v>16</x:v>
      </x:c>
      <x:c r="L602" s="6" t="n">
        <x:v>15.7</x:v>
      </x:c>
      <x:c r="M602" s="6" t="n">
        <x:v>0</x:v>
      </x:c>
      <x:c r="N602" s="6" t="n">
        <x:v>12786.91</x:v>
      </x:c>
      <x:c r="O602" s="6" t="n">
        <x:v>12514.97</x:v>
      </x:c>
      <x:c r="P602" s="6" t="n">
        <x:v>0</x:v>
      </x:c>
      <x:c r="Q602" s="1" t="n">
        <x:v>1</x:v>
      </x:c>
      <x:c r="R602" s="1" t="str">
        <x:v>No</x:v>
      </x:c>
      <x:c r="S602" s="7" t="n">
        <x:v>80.9</x:v>
      </x:c>
      <x:c r="T602" s="1" t="str">
        <x:v>Yes</x:v>
      </x:c>
      <x:c r="U602" s="1" t="str">
        <x:v>Completed</x:v>
      </x:c>
    </x:row>
    <x:row r="603">
      <x:c r="A603" s="1" t="str">
        <x:v>PUB-0602</x:v>
      </x:c>
      <x:c r="B603" s="5" t="n">
        <x:v>45678</x:v>
      </x:c>
      <x:c r="C603" s="5" t="n">
        <x:v>45690</x:v>
      </x:c>
      <x:c r="D603" s="5" t="str"/>
      <x:c r="E603" s="1" t="str">
        <x:v>Design</x:v>
      </x:c>
      <x:c r="F603" s="1" t="str">
        <x:v>Illustration</x:v>
      </x:c>
      <x:c r="G603" s="1" t="str">
        <x:v>Low</x:v>
      </x:c>
      <x:c r="H603" s="1" t="str">
        <x:v>Manual</x:v>
      </x:c>
      <x:c r="I603" s="1" t="str">
        <x:v>Manual / NA</x:v>
      </x:c>
      <x:c r="J603" s="1" t="n">
        <x:v>66</x:v>
      </x:c>
      <x:c r="K603" s="6" t="n">
        <x:v>29.1</x:v>
      </x:c>
      <x:c r="L603" s="6" t="n">
        <x:v>29.5</x:v>
      </x:c>
      <x:c r="M603" s="6" t="n">
        <x:v>0.4</x:v>
      </x:c>
      <x:c r="N603" s="6" t="n">
        <x:v>30828.94</x:v>
      </x:c>
      <x:c r="O603" s="6" t="n">
        <x:v>31200.34</x:v>
      </x:c>
      <x:c r="P603" s="6" t="n">
        <x:v>371.4</x:v>
      </x:c>
      <x:c r="Q603" s="1" t="n">
        <x:v>0</x:v>
      </x:c>
      <x:c r="R603" s="1" t="str"/>
      <x:c r="S603" s="7" t="n">
        <x:v>74.3</x:v>
      </x:c>
      <x:c r="T603" s="1" t="str"/>
      <x:c r="U603" s="1" t="str">
        <x:v>In Progress</x:v>
      </x:c>
    </x:row>
    <x:row r="604">
      <x:c r="A604" s="1" t="str">
        <x:v>PUB-0603</x:v>
      </x:c>
      <x:c r="B604" s="5" t="n">
        <x:v>45778</x:v>
      </x:c>
      <x:c r="C604" s="5" t="n">
        <x:v>45782</x:v>
      </x:c>
      <x:c r="D604" s="5" t="n">
        <x:v>45779</x:v>
      </x:c>
      <x:c r="E604" s="1" t="str">
        <x:v>Editorial</x:v>
      </x:c>
      <x:c r="F604" s="1" t="str">
        <x:v>Assessment</x:v>
      </x:c>
      <x:c r="G604" s="1" t="str">
        <x:v>Low</x:v>
      </x:c>
      <x:c r="H604" s="1" t="str">
        <x:v>AI-Assisted</x:v>
      </x:c>
      <x:c r="I604" s="1" t="str">
        <x:v>Few-shot v2</x:v>
      </x:c>
      <x:c r="J604" s="1" t="n">
        <x:v>44</x:v>
      </x:c>
      <x:c r="K604" s="6" t="n">
        <x:v>7.4</x:v>
      </x:c>
      <x:c r="L604" s="6" t="n">
        <x:v>14</x:v>
      </x:c>
      <x:c r="M604" s="6" t="n">
        <x:v>6.6</x:v>
      </x:c>
      <x:c r="N604" s="6" t="n">
        <x:v>5406.48</x:v>
      </x:c>
      <x:c r="O604" s="6" t="n">
        <x:v>10236.72</x:v>
      </x:c>
      <x:c r="P604" s="6" t="n">
        <x:v>4830.24</x:v>
      </x:c>
      <x:c r="Q604" s="1" t="n">
        <x:v>0</x:v>
      </x:c>
      <x:c r="R604" s="1" t="str">
        <x:v>Yes</x:v>
      </x:c>
      <x:c r="S604" s="7" t="n">
        <x:v>89.9</x:v>
      </x:c>
      <x:c r="T604" s="1" t="str">
        <x:v>Yes</x:v>
      </x:c>
      <x:c r="U604" s="1" t="str">
        <x:v>Completed</x:v>
      </x:c>
    </x:row>
    <x:row r="605">
      <x:c r="A605" s="1" t="str">
        <x:v>PUB-0604</x:v>
      </x:c>
      <x:c r="B605" s="5" t="n">
        <x:v>45833</x:v>
      </x:c>
      <x:c r="C605" s="5" t="n">
        <x:v>45847</x:v>
      </x:c>
      <x:c r="D605" s="5" t="str"/>
      <x:c r="E605" s="1" t="str">
        <x:v>Design</x:v>
      </x:c>
      <x:c r="F605" s="1" t="str">
        <x:v>E-book</x:v>
      </x:c>
      <x:c r="G605" s="1" t="str">
        <x:v>High</x:v>
      </x:c>
      <x:c r="H605" s="1" t="str">
        <x:v>AI-Assisted</x:v>
      </x:c>
      <x:c r="I605" s="1" t="str">
        <x:v>Structured v3</x:v>
      </x:c>
      <x:c r="J605" s="1" t="n">
        <x:v>140</x:v>
      </x:c>
      <x:c r="K605" s="6" t="n">
        <x:v>47.7</x:v>
      </x:c>
      <x:c r="L605" s="6" t="n">
        <x:v>78.5</x:v>
      </x:c>
      <x:c r="M605" s="6" t="n">
        <x:v>30.8</x:v>
      </x:c>
      <x:c r="N605" s="6" t="n">
        <x:v>34340.54</x:v>
      </x:c>
      <x:c r="O605" s="6" t="n">
        <x:v>56482.88</x:v>
      </x:c>
      <x:c r="P605" s="6" t="n">
        <x:v>22142.34</x:v>
      </x:c>
      <x:c r="Q605" s="1" t="n">
        <x:v>0</x:v>
      </x:c>
      <x:c r="R605" s="1" t="str"/>
      <x:c r="S605" s="7" t="n">
        <x:v>87.8</x:v>
      </x:c>
      <x:c r="T605" s="1" t="str"/>
      <x:c r="U605" s="1" t="str">
        <x:v>In Review</x:v>
      </x:c>
    </x:row>
    <x:row r="606">
      <x:c r="A606" s="1" t="str">
        <x:v>PUB-0605</x:v>
      </x:c>
      <x:c r="B606" s="5" t="n">
        <x:v>46018</x:v>
      </x:c>
      <x:c r="C606" s="5" t="n">
        <x:v>46024</x:v>
      </x:c>
      <x:c r="D606" s="5" t="n">
        <x:v>46019</x:v>
      </x:c>
      <x:c r="E606" s="1" t="str">
        <x:v>Production</x:v>
      </x:c>
      <x:c r="F606" s="1" t="str">
        <x:v>Assessment</x:v>
      </x:c>
      <x:c r="G606" s="1" t="str">
        <x:v>Low</x:v>
      </x:c>
      <x:c r="H606" s="1" t="str">
        <x:v>AI-Assisted</x:v>
      </x:c>
      <x:c r="I606" s="1" t="str">
        <x:v>Editorial QA</x:v>
      </x:c>
      <x:c r="J606" s="1" t="n">
        <x:v>9</x:v>
      </x:c>
      <x:c r="K606" s="6" t="n">
        <x:v>1.6</x:v>
      </x:c>
      <x:c r="L606" s="6" t="n">
        <x:v>3</x:v>
      </x:c>
      <x:c r="M606" s="6" t="n">
        <x:v>1.4</x:v>
      </x:c>
      <x:c r="N606" s="6" t="n">
        <x:v>1706.1</x:v>
      </x:c>
      <x:c r="O606" s="6" t="n">
        <x:v>3158.59</x:v>
      </x:c>
      <x:c r="P606" s="6" t="n">
        <x:v>1452.49</x:v>
      </x:c>
      <x:c r="Q606" s="1" t="n">
        <x:v>0</x:v>
      </x:c>
      <x:c r="R606" s="1" t="str">
        <x:v>Yes</x:v>
      </x:c>
      <x:c r="S606" s="7" t="n">
        <x:v>85.9</x:v>
      </x:c>
      <x:c r="T606" s="1" t="str">
        <x:v>Yes</x:v>
      </x:c>
      <x:c r="U606" s="1" t="str">
        <x:v>Completed</x:v>
      </x:c>
    </x:row>
    <x:row r="607">
      <x:c r="A607" s="1" t="str">
        <x:v>PUB-0606</x:v>
      </x:c>
      <x:c r="B607" s="5" t="n">
        <x:v>46090</x:v>
      </x:c>
      <x:c r="C607" s="5" t="n">
        <x:v>46105</x:v>
      </x:c>
      <x:c r="D607" s="5" t="n">
        <x:v>46098</x:v>
      </x:c>
      <x:c r="E607" s="1" t="str">
        <x:v>Editorial</x:v>
      </x:c>
      <x:c r="F607" s="1" t="str">
        <x:v>Workbook</x:v>
      </x:c>
      <x:c r="G607" s="1" t="str">
        <x:v>Medium</x:v>
      </x:c>
      <x:c r="H607" s="1" t="str">
        <x:v>AI-Assisted</x:v>
      </x:c>
      <x:c r="I607" s="1" t="str">
        <x:v>Visual Brief</x:v>
      </x:c>
      <x:c r="J607" s="1" t="n">
        <x:v>110</x:v>
      </x:c>
      <x:c r="K607" s="6" t="n">
        <x:v>40.1</x:v>
      </x:c>
      <x:c r="L607" s="6" t="n">
        <x:v>62.5</x:v>
      </x:c>
      <x:c r="M607" s="6" t="n">
        <x:v>22.4</x:v>
      </x:c>
      <x:c r="N607" s="6" t="n">
        <x:v>44916</x:v>
      </x:c>
      <x:c r="O607" s="6" t="n">
        <x:v>69964.47</x:v>
      </x:c>
      <x:c r="P607" s="6" t="n">
        <x:v>25048.47</x:v>
      </x:c>
      <x:c r="Q607" s="1" t="n">
        <x:v>1</x:v>
      </x:c>
      <x:c r="R607" s="1" t="str">
        <x:v>No</x:v>
      </x:c>
      <x:c r="S607" s="7" t="n">
        <x:v>85.1</x:v>
      </x:c>
      <x:c r="T607" s="1" t="str">
        <x:v>Yes</x:v>
      </x:c>
      <x:c r="U607" s="1" t="str">
        <x:v>Completed</x:v>
      </x:c>
    </x:row>
    <x:row r="608">
      <x:c r="A608" s="1" t="str">
        <x:v>PUB-0607</x:v>
      </x:c>
      <x:c r="B608" s="5" t="n">
        <x:v>45855</x:v>
      </x:c>
      <x:c r="C608" s="5" t="n">
        <x:v>45859</x:v>
      </x:c>
      <x:c r="D608" s="5" t="n">
        <x:v>45862</x:v>
      </x:c>
      <x:c r="E608" s="1" t="str">
        <x:v>Production</x:v>
      </x:c>
      <x:c r="F608" s="1" t="str">
        <x:v>Assessment</x:v>
      </x:c>
      <x:c r="G608" s="1" t="str">
        <x:v>Medium</x:v>
      </x:c>
      <x:c r="H608" s="1" t="str">
        <x:v>AI-Assisted</x:v>
      </x:c>
      <x:c r="I608" s="1" t="str">
        <x:v>Few-shot v2</x:v>
      </x:c>
      <x:c r="J608" s="1" t="n">
        <x:v>24</x:v>
      </x:c>
      <x:c r="K608" s="6" t="n">
        <x:v>6.8</x:v>
      </x:c>
      <x:c r="L608" s="6" t="n">
        <x:v>9.5</x:v>
      </x:c>
      <x:c r="M608" s="6" t="n">
        <x:v>2.7</x:v>
      </x:c>
      <x:c r="N608" s="6" t="n">
        <x:v>5894.33</x:v>
      </x:c>
      <x:c r="O608" s="6" t="n">
        <x:v>8191.76</x:v>
      </x:c>
      <x:c r="P608" s="6" t="n">
        <x:v>2297.43</x:v>
      </x:c>
      <x:c r="Q608" s="1" t="n">
        <x:v>2</x:v>
      </x:c>
      <x:c r="R608" s="1" t="str">
        <x:v>No</x:v>
      </x:c>
      <x:c r="S608" s="7" t="n">
        <x:v>88.3</x:v>
      </x:c>
      <x:c r="T608" s="1" t="str">
        <x:v>No</x:v>
      </x:c>
      <x:c r="U608" s="1" t="str">
        <x:v>Completed</x:v>
      </x:c>
    </x:row>
    <x:row r="609">
      <x:c r="A609" s="1" t="str">
        <x:v>PUB-0608</x:v>
      </x:c>
      <x:c r="B609" s="5" t="n">
        <x:v>45725</x:v>
      </x:c>
      <x:c r="C609" s="5" t="n">
        <x:v>45743</x:v>
      </x:c>
      <x:c r="D609" s="5" t="str"/>
      <x:c r="E609" s="1" t="str">
        <x:v>Editorial</x:v>
      </x:c>
      <x:c r="F609" s="1" t="str">
        <x:v>School Textbook</x:v>
      </x:c>
      <x:c r="G609" s="1" t="str">
        <x:v>Medium</x:v>
      </x:c>
      <x:c r="H609" s="1" t="str">
        <x:v>Manual</x:v>
      </x:c>
      <x:c r="I609" s="1" t="str">
        <x:v>Manual / NA</x:v>
      </x:c>
      <x:c r="J609" s="1" t="n">
        <x:v>207</x:v>
      </x:c>
      <x:c r="K609" s="6" t="n">
        <x:v>105.5</x:v>
      </x:c>
      <x:c r="L609" s="6" t="n">
        <x:v>114.1</x:v>
      </x:c>
      <x:c r="M609" s="6" t="n">
        <x:v>8.6</x:v>
      </x:c>
      <x:c r="N609" s="6" t="n">
        <x:v>69095.29</x:v>
      </x:c>
      <x:c r="O609" s="6" t="n">
        <x:v>74719.63</x:v>
      </x:c>
      <x:c r="P609" s="6" t="n">
        <x:v>5624.34</x:v>
      </x:c>
      <x:c r="Q609" s="1" t="n">
        <x:v>0</x:v>
      </x:c>
      <x:c r="R609" s="1" t="str"/>
      <x:c r="S609" s="7" t="n">
        <x:v>86.3</x:v>
      </x:c>
      <x:c r="T609" s="1" t="str"/>
      <x:c r="U609" s="1" t="str">
        <x:v>In Progress</x:v>
      </x:c>
    </x:row>
    <x:row r="610">
      <x:c r="A610" s="1" t="str">
        <x:v>PUB-0609</x:v>
      </x:c>
      <x:c r="B610" s="5" t="n">
        <x:v>45784</x:v>
      </x:c>
      <x:c r="C610" s="5" t="n">
        <x:v>45791</x:v>
      </x:c>
      <x:c r="D610" s="5" t="n">
        <x:v>45786</x:v>
      </x:c>
      <x:c r="E610" s="1" t="str">
        <x:v>Editorial</x:v>
      </x:c>
      <x:c r="F610" s="1" t="str">
        <x:v>Illustration</x:v>
      </x:c>
      <x:c r="G610" s="1" t="str">
        <x:v>Low</x:v>
      </x:c>
      <x:c r="H610" s="1" t="str">
        <x:v>AI-Assisted</x:v>
      </x:c>
      <x:c r="I610" s="1" t="str">
        <x:v>Visual Brief</x:v>
      </x:c>
      <x:c r="J610" s="1" t="n">
        <x:v>66</x:v>
      </x:c>
      <x:c r="K610" s="6" t="n">
        <x:v>14.6</x:v>
      </x:c>
      <x:c r="L610" s="6" t="n">
        <x:v>23.6</x:v>
      </x:c>
      <x:c r="M610" s="6" t="n">
        <x:v>9</x:v>
      </x:c>
      <x:c r="N610" s="6" t="n">
        <x:v>11548.58</x:v>
      </x:c>
      <x:c r="O610" s="6" t="n">
        <x:v>18697.1</x:v>
      </x:c>
      <x:c r="P610" s="6" t="n">
        <x:v>7148.52</x:v>
      </x:c>
      <x:c r="Q610" s="1" t="n">
        <x:v>0</x:v>
      </x:c>
      <x:c r="R610" s="1" t="str">
        <x:v>Yes</x:v>
      </x:c>
      <x:c r="S610" s="7" t="n">
        <x:v>90.4</x:v>
      </x:c>
      <x:c r="T610" s="1" t="str">
        <x:v>Yes</x:v>
      </x:c>
      <x:c r="U610" s="1" t="str">
        <x:v>Completed</x:v>
      </x:c>
    </x:row>
    <x:row r="611">
      <x:c r="A611" s="1" t="str">
        <x:v>PUB-0610</x:v>
      </x:c>
      <x:c r="B611" s="5" t="n">
        <x:v>46202</x:v>
      </x:c>
      <x:c r="C611" s="5" t="n">
        <x:v>46213</x:v>
      </x:c>
      <x:c r="D611" s="5" t="n">
        <x:v>46204</x:v>
      </x:c>
      <x:c r="E611" s="1" t="str">
        <x:v>Design</x:v>
      </x:c>
      <x:c r="F611" s="1" t="str">
        <x:v>E-book</x:v>
      </x:c>
      <x:c r="G611" s="1" t="str">
        <x:v>Low</x:v>
      </x:c>
      <x:c r="H611" s="1" t="str">
        <x:v>AI-Assisted</x:v>
      </x:c>
      <x:c r="I611" s="1" t="str">
        <x:v>Editorial QA</x:v>
      </x:c>
      <x:c r="J611" s="1" t="n">
        <x:v>74</x:v>
      </x:c>
      <x:c r="K611" s="6" t="n">
        <x:v>14.8</x:v>
      </x:c>
      <x:c r="L611" s="6" t="n">
        <x:v>28.7</x:v>
      </x:c>
      <x:c r="M611" s="6" t="n">
        <x:v>13.9</x:v>
      </x:c>
      <x:c r="N611" s="6" t="n">
        <x:v>10555.13</x:v>
      </x:c>
      <x:c r="O611" s="6" t="n">
        <x:v>20468.88</x:v>
      </x:c>
      <x:c r="P611" s="6" t="n">
        <x:v>9913.75</x:v>
      </x:c>
      <x:c r="Q611" s="1" t="n">
        <x:v>0</x:v>
      </x:c>
      <x:c r="R611" s="1" t="str">
        <x:v>Yes</x:v>
      </x:c>
      <x:c r="S611" s="7" t="n">
        <x:v>90</x:v>
      </x:c>
      <x:c r="T611" s="1" t="str">
        <x:v>Yes</x:v>
      </x:c>
      <x:c r="U611" s="1" t="str">
        <x:v>Completed</x:v>
      </x:c>
    </x:row>
    <x:row r="612">
      <x:c r="A612" s="1" t="str">
        <x:v>PUB-0611</x:v>
      </x:c>
      <x:c r="B612" s="5" t="n">
        <x:v>46037</x:v>
      </x:c>
      <x:c r="C612" s="5" t="n">
        <x:v>46048</x:v>
      </x:c>
      <x:c r="D612" s="5" t="n">
        <x:v>46039</x:v>
      </x:c>
      <x:c r="E612" s="1" t="str">
        <x:v>Production</x:v>
      </x:c>
      <x:c r="F612" s="1" t="str">
        <x:v>Workbook</x:v>
      </x:c>
      <x:c r="G612" s="1" t="str">
        <x:v>Medium</x:v>
      </x:c>
      <x:c r="H612" s="1" t="str">
        <x:v>AI-Assisted</x:v>
      </x:c>
      <x:c r="I612" s="1" t="str">
        <x:v>Editorial QA</x:v>
      </x:c>
      <x:c r="J612" s="1" t="n">
        <x:v>54</x:v>
      </x:c>
      <x:c r="K612" s="6" t="n">
        <x:v>14</x:v>
      </x:c>
      <x:c r="L612" s="6" t="n">
        <x:v>23.6</x:v>
      </x:c>
      <x:c r="M612" s="6" t="n">
        <x:v>9.6</x:v>
      </x:c>
      <x:c r="N612" s="6" t="n">
        <x:v>11107.74</x:v>
      </x:c>
      <x:c r="O612" s="6" t="n">
        <x:v>18760.6</x:v>
      </x:c>
      <x:c r="P612" s="6" t="n">
        <x:v>7652.86</x:v>
      </x:c>
      <x:c r="Q612" s="1" t="n">
        <x:v>0</x:v>
      </x:c>
      <x:c r="R612" s="1" t="str">
        <x:v>Yes</x:v>
      </x:c>
      <x:c r="S612" s="7" t="n">
        <x:v>80.3</x:v>
      </x:c>
      <x:c r="T612" s="1" t="str">
        <x:v>Yes</x:v>
      </x:c>
      <x:c r="U612" s="1" t="str">
        <x:v>Completed</x:v>
      </x:c>
    </x:row>
    <x:row r="613">
      <x:c r="A613" s="1" t="str">
        <x:v>PUB-0612</x:v>
      </x:c>
      <x:c r="B613" s="5" t="n">
        <x:v>45747</x:v>
      </x:c>
      <x:c r="C613" s="5" t="n">
        <x:v>45754</x:v>
      </x:c>
      <x:c r="D613" s="5" t="str"/>
      <x:c r="E613" s="1" t="str">
        <x:v>Digital Learning</x:v>
      </x:c>
      <x:c r="F613" s="1" t="str">
        <x:v>Workbook</x:v>
      </x:c>
      <x:c r="G613" s="1" t="str">
        <x:v>Low</x:v>
      </x:c>
      <x:c r="H613" s="1" t="str">
        <x:v>AI-Assisted</x:v>
      </x:c>
      <x:c r="I613" s="1" t="str">
        <x:v>Structured v3</x:v>
      </x:c>
      <x:c r="J613" s="1" t="n">
        <x:v>28</x:v>
      </x:c>
      <x:c r="K613" s="6" t="n">
        <x:v>4.8</x:v>
      </x:c>
      <x:c r="L613" s="6" t="n">
        <x:v>9.5</x:v>
      </x:c>
      <x:c r="M613" s="6" t="n">
        <x:v>4.7</x:v>
      </x:c>
      <x:c r="N613" s="6" t="n">
        <x:v>4500.76</x:v>
      </x:c>
      <x:c r="O613" s="6" t="n">
        <x:v>8887.19</x:v>
      </x:c>
      <x:c r="P613" s="6" t="n">
        <x:v>4386.43</x:v>
      </x:c>
      <x:c r="Q613" s="1" t="n">
        <x:v>1</x:v>
      </x:c>
      <x:c r="R613" s="1" t="str"/>
      <x:c r="S613" s="7" t="n">
        <x:v>86.3</x:v>
      </x:c>
      <x:c r="T613" s="1" t="str"/>
      <x:c r="U613" s="1" t="str">
        <x:v>In Progress</x:v>
      </x:c>
    </x:row>
    <x:row r="614">
      <x:c r="A614" s="1" t="str">
        <x:v>PUB-0613</x:v>
      </x:c>
      <x:c r="B614" s="5" t="n">
        <x:v>46092</x:v>
      </x:c>
      <x:c r="C614" s="5" t="n">
        <x:v>46117</x:v>
      </x:c>
      <x:c r="D614" s="5" t="n">
        <x:v>46104</x:v>
      </x:c>
      <x:c r="E614" s="1" t="str">
        <x:v>Production</x:v>
      </x:c>
      <x:c r="F614" s="1" t="str">
        <x:v>E-book</x:v>
      </x:c>
      <x:c r="G614" s="1" t="str">
        <x:v>High</x:v>
      </x:c>
      <x:c r="H614" s="1" t="str">
        <x:v>AI-Assisted</x:v>
      </x:c>
      <x:c r="I614" s="1" t="str">
        <x:v>Few-shot v2</x:v>
      </x:c>
      <x:c r="J614" s="1" t="n">
        <x:v>183</x:v>
      </x:c>
      <x:c r="K614" s="6" t="n">
        <x:v>86.9</x:v>
      </x:c>
      <x:c r="L614" s="6" t="n">
        <x:v>134.2</x:v>
      </x:c>
      <x:c r="M614" s="6" t="n">
        <x:v>47.3</x:v>
      </x:c>
      <x:c r="N614" s="6" t="n">
        <x:v>74102.73</x:v>
      </x:c>
      <x:c r="O614" s="6" t="n">
        <x:v>114400.5</x:v>
      </x:c>
      <x:c r="P614" s="6" t="n">
        <x:v>40297.77</x:v>
      </x:c>
      <x:c r="Q614" s="1" t="n">
        <x:v>0</x:v>
      </x:c>
      <x:c r="R614" s="1" t="str">
        <x:v>Yes</x:v>
      </x:c>
      <x:c r="S614" s="7" t="n">
        <x:v>96.7</x:v>
      </x:c>
      <x:c r="T614" s="1" t="str">
        <x:v>Yes</x:v>
      </x:c>
      <x:c r="U614" s="1" t="str">
        <x:v>Completed</x:v>
      </x:c>
    </x:row>
    <x:row r="615">
      <x:c r="A615" s="1" t="str">
        <x:v>PUB-0614</x:v>
      </x:c>
      <x:c r="B615" s="5" t="n">
        <x:v>46011</x:v>
      </x:c>
      <x:c r="C615" s="5" t="n">
        <x:v>46016</x:v>
      </x:c>
      <x:c r="D615" s="5" t="n">
        <x:v>46012</x:v>
      </x:c>
      <x:c r="E615" s="1" t="str">
        <x:v>Editorial</x:v>
      </x:c>
      <x:c r="F615" s="1" t="str">
        <x:v>Illustration</x:v>
      </x:c>
      <x:c r="G615" s="1" t="str">
        <x:v>Medium</x:v>
      </x:c>
      <x:c r="H615" s="1" t="str">
        <x:v>Manual</x:v>
      </x:c>
      <x:c r="I615" s="1" t="str">
        <x:v>Manual / NA</x:v>
      </x:c>
      <x:c r="J615" s="1" t="n">
        <x:v>9</x:v>
      </x:c>
      <x:c r="K615" s="6" t="n">
        <x:v>5.2</x:v>
      </x:c>
      <x:c r="L615" s="6" t="n">
        <x:v>5.2</x:v>
      </x:c>
      <x:c r="M615" s="6" t="n">
        <x:v>0</x:v>
      </x:c>
      <x:c r="N615" s="6" t="n">
        <x:v>5673.02</x:v>
      </x:c>
      <x:c r="O615" s="6" t="n">
        <x:v>5618.47</x:v>
      </x:c>
      <x:c r="P615" s="6" t="n">
        <x:v>0</x:v>
      </x:c>
      <x:c r="Q615" s="1" t="n">
        <x:v>0</x:v>
      </x:c>
      <x:c r="R615" s="1" t="str">
        <x:v>Yes</x:v>
      </x:c>
      <x:c r="S615" s="7" t="n">
        <x:v>80.2</x:v>
      </x:c>
      <x:c r="T615" s="1" t="str">
        <x:v>Yes</x:v>
      </x:c>
      <x:c r="U615" s="1" t="str">
        <x:v>Completed</x:v>
      </x:c>
    </x:row>
    <x:row r="616">
      <x:c r="A616" s="1" t="str">
        <x:v>PUB-0615</x:v>
      </x:c>
      <x:c r="B616" s="5" t="n">
        <x:v>45794</x:v>
      </x:c>
      <x:c r="C616" s="5" t="n">
        <x:v>45807</x:v>
      </x:c>
      <x:c r="D616" s="5" t="n">
        <x:v>45799</x:v>
      </x:c>
      <x:c r="E616" s="1" t="str">
        <x:v>Design</x:v>
      </x:c>
      <x:c r="F616" s="1" t="str">
        <x:v>E-book</x:v>
      </x:c>
      <x:c r="G616" s="1" t="str">
        <x:v>High</x:v>
      </x:c>
      <x:c r="H616" s="1" t="str">
        <x:v>AI-Assisted</x:v>
      </x:c>
      <x:c r="I616" s="1" t="str">
        <x:v>Few-shot v2</x:v>
      </x:c>
      <x:c r="J616" s="1" t="n">
        <x:v>103</x:v>
      </x:c>
      <x:c r="K616" s="6" t="n">
        <x:v>38</x:v>
      </x:c>
      <x:c r="L616" s="6" t="n">
        <x:v>59.1</x:v>
      </x:c>
      <x:c r="M616" s="6" t="n">
        <x:v>21.1</x:v>
      </x:c>
      <x:c r="N616" s="6" t="n">
        <x:v>40502.8</x:v>
      </x:c>
      <x:c r="O616" s="6" t="n">
        <x:v>62943.86</x:v>
      </x:c>
      <x:c r="P616" s="6" t="n">
        <x:v>22441.06</x:v>
      </x:c>
      <x:c r="Q616" s="1" t="n">
        <x:v>0</x:v>
      </x:c>
      <x:c r="R616" s="1" t="str">
        <x:v>Yes</x:v>
      </x:c>
      <x:c r="S616" s="7" t="n">
        <x:v>91.9</x:v>
      </x:c>
      <x:c r="T616" s="1" t="str">
        <x:v>Yes</x:v>
      </x:c>
      <x:c r="U616" s="1" t="str">
        <x:v>Completed</x:v>
      </x:c>
    </x:row>
    <x:row r="617">
      <x:c r="A617" s="1" t="str">
        <x:v>PUB-0616</x:v>
      </x:c>
      <x:c r="B617" s="5" t="n">
        <x:v>45660</x:v>
      </x:c>
      <x:c r="C617" s="5" t="n">
        <x:v>45668</x:v>
      </x:c>
      <x:c r="D617" s="5" t="n">
        <x:v>45663</x:v>
      </x:c>
      <x:c r="E617" s="1" t="str">
        <x:v>Production</x:v>
      </x:c>
      <x:c r="F617" s="1" t="str">
        <x:v>Assessment</x:v>
      </x:c>
      <x:c r="G617" s="1" t="str">
        <x:v>High</x:v>
      </x:c>
      <x:c r="H617" s="1" t="str">
        <x:v>AI-Assisted</x:v>
      </x:c>
      <x:c r="I617" s="1" t="str">
        <x:v>Structured v3</x:v>
      </x:c>
      <x:c r="J617" s="1" t="n">
        <x:v>69</x:v>
      </x:c>
      <x:c r="K617" s="6" t="n">
        <x:v>19.8</x:v>
      </x:c>
      <x:c r="L617" s="6" t="n">
        <x:v>33.5</x:v>
      </x:c>
      <x:c r="M617" s="6" t="n">
        <x:v>13.7</x:v>
      </x:c>
      <x:c r="N617" s="6" t="n">
        <x:v>18985.71</x:v>
      </x:c>
      <x:c r="O617" s="6" t="n">
        <x:v>32121.06</x:v>
      </x:c>
      <x:c r="P617" s="6" t="n">
        <x:v>13135.35</x:v>
      </x:c>
      <x:c r="Q617" s="1" t="n">
        <x:v>0</x:v>
      </x:c>
      <x:c r="R617" s="1" t="str">
        <x:v>Yes</x:v>
      </x:c>
      <x:c r="S617" s="7" t="n">
        <x:v>85.5</x:v>
      </x:c>
      <x:c r="T617" s="1" t="str">
        <x:v>Yes</x:v>
      </x:c>
      <x:c r="U617" s="1" t="str">
        <x:v>Completed</x:v>
      </x:c>
    </x:row>
    <x:row r="618">
      <x:c r="A618" s="1" t="str">
        <x:v>PUB-0617</x:v>
      </x:c>
      <x:c r="B618" s="5" t="n">
        <x:v>45994</x:v>
      </x:c>
      <x:c r="C618" s="5" t="n">
        <x:v>46005</x:v>
      </x:c>
      <x:c r="D618" s="5" t="n">
        <x:v>45997</x:v>
      </x:c>
      <x:c r="E618" s="1" t="str">
        <x:v>Editorial</x:v>
      </x:c>
      <x:c r="F618" s="1" t="str">
        <x:v>School Textbook</x:v>
      </x:c>
      <x:c r="G618" s="1" t="str">
        <x:v>Medium</x:v>
      </x:c>
      <x:c r="H618" s="1" t="str">
        <x:v>AI-Assisted</x:v>
      </x:c>
      <x:c r="I618" s="1" t="str">
        <x:v>Editorial QA</x:v>
      </x:c>
      <x:c r="J618" s="1" t="n">
        <x:v>110</x:v>
      </x:c>
      <x:c r="K618" s="6" t="n">
        <x:v>25.2</x:v>
      </x:c>
      <x:c r="L618" s="6" t="n">
        <x:v>42.1</x:v>
      </x:c>
      <x:c r="M618" s="6" t="n">
        <x:v>16.9</x:v>
      </x:c>
      <x:c r="N618" s="6" t="n">
        <x:v>17447.77</x:v>
      </x:c>
      <x:c r="O618" s="6" t="n">
        <x:v>29115.88</x:v>
      </x:c>
      <x:c r="P618" s="6" t="n">
        <x:v>11668.11</x:v>
      </x:c>
      <x:c r="Q618" s="1" t="n">
        <x:v>0</x:v>
      </x:c>
      <x:c r="R618" s="1" t="str">
        <x:v>Yes</x:v>
      </x:c>
      <x:c r="S618" s="7" t="n">
        <x:v>90.6</x:v>
      </x:c>
      <x:c r="T618" s="1" t="str">
        <x:v>Yes</x:v>
      </x:c>
      <x:c r="U618" s="1" t="str">
        <x:v>Completed</x:v>
      </x:c>
    </x:row>
    <x:row r="619">
      <x:c r="A619" s="1" t="str">
        <x:v>PUB-0618</x:v>
      </x:c>
      <x:c r="B619" s="5" t="n">
        <x:v>45914</x:v>
      </x:c>
      <x:c r="C619" s="5" t="n">
        <x:v>45920</x:v>
      </x:c>
      <x:c r="D619" s="5" t="n">
        <x:v>45916</x:v>
      </x:c>
      <x:c r="E619" s="1" t="str">
        <x:v>Editorial</x:v>
      </x:c>
      <x:c r="F619" s="1" t="str">
        <x:v>Workbook</x:v>
      </x:c>
      <x:c r="G619" s="1" t="str">
        <x:v>Medium</x:v>
      </x:c>
      <x:c r="H619" s="1" t="str">
        <x:v>AI-Assisted</x:v>
      </x:c>
      <x:c r="I619" s="1" t="str">
        <x:v>Few-shot v2</x:v>
      </x:c>
      <x:c r="J619" s="1" t="n">
        <x:v>54</x:v>
      </x:c>
      <x:c r="K619" s="6" t="n">
        <x:v>16.2</x:v>
      </x:c>
      <x:c r="L619" s="6" t="n">
        <x:v>22.6</x:v>
      </x:c>
      <x:c r="M619" s="6" t="n">
        <x:v>6.4</x:v>
      </x:c>
      <x:c r="N619" s="6" t="n">
        <x:v>15845.87</x:v>
      </x:c>
      <x:c r="O619" s="6" t="n">
        <x:v>22146.5</x:v>
      </x:c>
      <x:c r="P619" s="6" t="n">
        <x:v>6300.63</x:v>
      </x:c>
      <x:c r="Q619" s="1" t="n">
        <x:v>0</x:v>
      </x:c>
      <x:c r="R619" s="1" t="str">
        <x:v>Yes</x:v>
      </x:c>
      <x:c r="S619" s="7" t="n">
        <x:v>91.3</x:v>
      </x:c>
      <x:c r="T619" s="1" t="str">
        <x:v>Yes</x:v>
      </x:c>
      <x:c r="U619" s="1" t="str">
        <x:v>Completed</x:v>
      </x:c>
    </x:row>
    <x:row r="620">
      <x:c r="A620" s="1" t="str">
        <x:v>PUB-0619</x:v>
      </x:c>
      <x:c r="B620" s="5" t="n">
        <x:v>45663</x:v>
      </x:c>
      <x:c r="C620" s="5" t="n">
        <x:v>45669</x:v>
      </x:c>
      <x:c r="D620" s="5" t="n">
        <x:v>45664</x:v>
      </x:c>
      <x:c r="E620" s="1" t="str">
        <x:v>Design</x:v>
      </x:c>
      <x:c r="F620" s="1" t="str">
        <x:v>E-book</x:v>
      </x:c>
      <x:c r="G620" s="1" t="str">
        <x:v>Low</x:v>
      </x:c>
      <x:c r="H620" s="1" t="str">
        <x:v>AI-Assisted</x:v>
      </x:c>
      <x:c r="I620" s="1" t="str">
        <x:v>Structured v3</x:v>
      </x:c>
      <x:c r="J620" s="1" t="n">
        <x:v>18</x:v>
      </x:c>
      <x:c r="K620" s="6" t="n">
        <x:v>3.7</x:v>
      </x:c>
      <x:c r="L620" s="6" t="n">
        <x:v>6.7</x:v>
      </x:c>
      <x:c r="M620" s="6" t="n">
        <x:v>3</x:v>
      </x:c>
      <x:c r="N620" s="6" t="n">
        <x:v>2463.47</x:v>
      </x:c>
      <x:c r="O620" s="6" t="n">
        <x:v>4448.13</x:v>
      </x:c>
      <x:c r="P620" s="6" t="n">
        <x:v>1984.66</x:v>
      </x:c>
      <x:c r="Q620" s="1" t="n">
        <x:v>0</x:v>
      </x:c>
      <x:c r="R620" s="1" t="str">
        <x:v>Yes</x:v>
      </x:c>
      <x:c r="S620" s="7" t="n">
        <x:v>99</x:v>
      </x:c>
      <x:c r="T620" s="1" t="str">
        <x:v>Yes</x:v>
      </x:c>
      <x:c r="U620" s="1" t="str">
        <x:v>Completed</x:v>
      </x:c>
    </x:row>
    <x:row r="621">
      <x:c r="A621" s="1" t="str">
        <x:v>PUB-0620</x:v>
      </x:c>
      <x:c r="B621" s="5" t="n">
        <x:v>46165</x:v>
      </x:c>
      <x:c r="C621" s="5" t="n">
        <x:v>46171</x:v>
      </x:c>
      <x:c r="D621" s="5" t="n">
        <x:v>46169</x:v>
      </x:c>
      <x:c r="E621" s="1" t="str">
        <x:v>Digital Learning</x:v>
      </x:c>
      <x:c r="F621" s="1" t="str">
        <x:v>Illustration</x:v>
      </x:c>
      <x:c r="G621" s="1" t="str">
        <x:v>Medium</x:v>
      </x:c>
      <x:c r="H621" s="1" t="str">
        <x:v>AI-Assisted</x:v>
      </x:c>
      <x:c r="I621" s="1" t="str">
        <x:v>Editorial QA</x:v>
      </x:c>
      <x:c r="J621" s="1" t="n">
        <x:v>55</x:v>
      </x:c>
      <x:c r="K621" s="6" t="n">
        <x:v>21.1</x:v>
      </x:c>
      <x:c r="L621" s="6" t="n">
        <x:v>31</x:v>
      </x:c>
      <x:c r="M621" s="6" t="n">
        <x:v>9.9</x:v>
      </x:c>
      <x:c r="N621" s="6" t="n">
        <x:v>17817.35</x:v>
      </x:c>
      <x:c r="O621" s="6" t="n">
        <x:v>26156.12</x:v>
      </x:c>
      <x:c r="P621" s="6" t="n">
        <x:v>8338.77</x:v>
      </x:c>
      <x:c r="Q621" s="1" t="n">
        <x:v>1</x:v>
      </x:c>
      <x:c r="R621" s="1" t="str">
        <x:v>No</x:v>
      </x:c>
      <x:c r="S621" s="7" t="n">
        <x:v>83</x:v>
      </x:c>
      <x:c r="T621" s="1" t="str">
        <x:v>Yes</x:v>
      </x:c>
      <x:c r="U621" s="1" t="str">
        <x:v>Completed</x:v>
      </x:c>
    </x:row>
    <x:row r="622">
      <x:c r="A622" s="1" t="str">
        <x:v>PUB-0621</x:v>
      </x:c>
      <x:c r="B622" s="5" t="n">
        <x:v>46170</x:v>
      </x:c>
      <x:c r="C622" s="5" t="n">
        <x:v>46178</x:v>
      </x:c>
      <x:c r="D622" s="5" t="n">
        <x:v>46173</x:v>
      </x:c>
      <x:c r="E622" s="1" t="str">
        <x:v>Editorial</x:v>
      </x:c>
      <x:c r="F622" s="1" t="str">
        <x:v>Illustration</x:v>
      </x:c>
      <x:c r="G622" s="1" t="str">
        <x:v>High</x:v>
      </x:c>
      <x:c r="H622" s="1" t="str">
        <x:v>AI-Assisted</x:v>
      </x:c>
      <x:c r="I622" s="1" t="str">
        <x:v>Visual Brief</x:v>
      </x:c>
      <x:c r="J622" s="1" t="n">
        <x:v>58</x:v>
      </x:c>
      <x:c r="K622" s="6" t="n">
        <x:v>23.4</x:v>
      </x:c>
      <x:c r="L622" s="6" t="n">
        <x:v>40</x:v>
      </x:c>
      <x:c r="M622" s="6" t="n">
        <x:v>16.6</x:v>
      </x:c>
      <x:c r="N622" s="6" t="n">
        <x:v>18596.76</x:v>
      </x:c>
      <x:c r="O622" s="6" t="n">
        <x:v>31775.27</x:v>
      </x:c>
      <x:c r="P622" s="6" t="n">
        <x:v>13178.51</x:v>
      </x:c>
      <x:c r="Q622" s="1" t="n">
        <x:v>0</x:v>
      </x:c>
      <x:c r="R622" s="1" t="str">
        <x:v>Yes</x:v>
      </x:c>
      <x:c r="S622" s="7" t="n">
        <x:v>89.3</x:v>
      </x:c>
      <x:c r="T622" s="1" t="str">
        <x:v>Yes</x:v>
      </x:c>
      <x:c r="U622" s="1" t="str">
        <x:v>Completed</x:v>
      </x:c>
    </x:row>
    <x:row r="623">
      <x:c r="A623" s="1" t="str">
        <x:v>PUB-0622</x:v>
      </x:c>
      <x:c r="B623" s="5" t="n">
        <x:v>45913</x:v>
      </x:c>
      <x:c r="C623" s="5" t="n">
        <x:v>45932</x:v>
      </x:c>
      <x:c r="D623" s="5" t="n">
        <x:v>45921</x:v>
      </x:c>
      <x:c r="E623" s="1" t="str">
        <x:v>Editorial</x:v>
      </x:c>
      <x:c r="F623" s="1" t="str">
        <x:v>School Textbook</x:v>
      </x:c>
      <x:c r="G623" s="1" t="str">
        <x:v>High</x:v>
      </x:c>
      <x:c r="H623" s="1" t="str">
        <x:v>AI-Assisted</x:v>
      </x:c>
      <x:c r="I623" s="1" t="str">
        <x:v>Editorial QA</x:v>
      </x:c>
      <x:c r="J623" s="1" t="n">
        <x:v>178</x:v>
      </x:c>
      <x:c r="K623" s="6" t="n">
        <x:v>61.6</x:v>
      </x:c>
      <x:c r="L623" s="6" t="n">
        <x:v>94.8</x:v>
      </x:c>
      <x:c r="M623" s="6" t="n">
        <x:v>33.2</x:v>
      </x:c>
      <x:c r="N623" s="6" t="n">
        <x:v>64986.54</x:v>
      </x:c>
      <x:c r="O623" s="6" t="n">
        <x:v>100055.82</x:v>
      </x:c>
      <x:c r="P623" s="6" t="n">
        <x:v>35069.28</x:v>
      </x:c>
      <x:c r="Q623" s="1" t="n">
        <x:v>0</x:v>
      </x:c>
      <x:c r="R623" s="1" t="str">
        <x:v>Yes</x:v>
      </x:c>
      <x:c r="S623" s="7" t="n">
        <x:v>84.9</x:v>
      </x:c>
      <x:c r="T623" s="1" t="str">
        <x:v>Yes</x:v>
      </x:c>
      <x:c r="U623" s="1" t="str">
        <x:v>Completed</x:v>
      </x:c>
    </x:row>
    <x:row r="624">
      <x:c r="A624" s="1" t="str">
        <x:v>PUB-0623</x:v>
      </x:c>
      <x:c r="B624" s="5" t="n">
        <x:v>45810</x:v>
      </x:c>
      <x:c r="C624" s="5" t="n">
        <x:v>45816</x:v>
      </x:c>
      <x:c r="D624" s="5" t="n">
        <x:v>45811</x:v>
      </x:c>
      <x:c r="E624" s="1" t="str">
        <x:v>Editorial</x:v>
      </x:c>
      <x:c r="F624" s="1" t="str">
        <x:v>School Textbook</x:v>
      </x:c>
      <x:c r="G624" s="1" t="str">
        <x:v>Medium</x:v>
      </x:c>
      <x:c r="H624" s="1" t="str">
        <x:v>AI-Assisted</x:v>
      </x:c>
      <x:c r="I624" s="1" t="str">
        <x:v>Visual Brief</x:v>
      </x:c>
      <x:c r="J624" s="1" t="n">
        <x:v>45</x:v>
      </x:c>
      <x:c r="K624" s="6" t="n">
        <x:v>11.2</x:v>
      </x:c>
      <x:c r="L624" s="6" t="n">
        <x:v>22.3</x:v>
      </x:c>
      <x:c r="M624" s="6" t="n">
        <x:v>11.1</x:v>
      </x:c>
      <x:c r="N624" s="6" t="n">
        <x:v>7565.35</x:v>
      </x:c>
      <x:c r="O624" s="6" t="n">
        <x:v>15065.2</x:v>
      </x:c>
      <x:c r="P624" s="6" t="n">
        <x:v>7499.85</x:v>
      </x:c>
      <x:c r="Q624" s="1" t="n">
        <x:v>0</x:v>
      </x:c>
      <x:c r="R624" s="1" t="str">
        <x:v>Yes</x:v>
      </x:c>
      <x:c r="S624" s="7" t="n">
        <x:v>86.3</x:v>
      </x:c>
      <x:c r="T624" s="1" t="str">
        <x:v>Yes</x:v>
      </x:c>
      <x:c r="U624" s="1" t="str">
        <x:v>Completed</x:v>
      </x:c>
    </x:row>
    <x:row r="625">
      <x:c r="A625" s="1" t="str">
        <x:v>PUB-0624</x:v>
      </x:c>
      <x:c r="B625" s="5" t="n">
        <x:v>46148</x:v>
      </x:c>
      <x:c r="C625" s="5" t="n">
        <x:v>46156</x:v>
      </x:c>
      <x:c r="D625" s="5" t="n">
        <x:v>46154</x:v>
      </x:c>
      <x:c r="E625" s="1" t="str">
        <x:v>Editorial</x:v>
      </x:c>
      <x:c r="F625" s="1" t="str">
        <x:v>Workbook</x:v>
      </x:c>
      <x:c r="G625" s="1" t="str">
        <x:v>Medium</x:v>
      </x:c>
      <x:c r="H625" s="1" t="str">
        <x:v>AI-Assisted</x:v>
      </x:c>
      <x:c r="I625" s="1" t="str">
        <x:v>Structured v3</x:v>
      </x:c>
      <x:c r="J625" s="1" t="n">
        <x:v>101</x:v>
      </x:c>
      <x:c r="K625" s="6" t="n">
        <x:v>25.6</x:v>
      </x:c>
      <x:c r="L625" s="6" t="n">
        <x:v>44.2</x:v>
      </x:c>
      <x:c r="M625" s="6" t="n">
        <x:v>18.6</x:v>
      </x:c>
      <x:c r="N625" s="6" t="n">
        <x:v>20733.96</x:v>
      </x:c>
      <x:c r="O625" s="6" t="n">
        <x:v>35765.9</x:v>
      </x:c>
      <x:c r="P625" s="6" t="n">
        <x:v>15031.94</x:v>
      </x:c>
      <x:c r="Q625" s="1" t="n">
        <x:v>1</x:v>
      </x:c>
      <x:c r="R625" s="1" t="str">
        <x:v>No</x:v>
      </x:c>
      <x:c r="S625" s="7" t="n">
        <x:v>94.7</x:v>
      </x:c>
      <x:c r="T625" s="1" t="str">
        <x:v>Yes</x:v>
      </x:c>
      <x:c r="U625" s="1" t="str">
        <x:v>Completed</x:v>
      </x:c>
    </x:row>
    <x:row r="626">
      <x:c r="A626" s="1" t="str">
        <x:v>PUB-0625</x:v>
      </x:c>
      <x:c r="B626" s="5" t="n">
        <x:v>45875</x:v>
      </x:c>
      <x:c r="C626" s="5" t="n">
        <x:v>45888</x:v>
      </x:c>
      <x:c r="D626" s="5" t="n">
        <x:v>45880</x:v>
      </x:c>
      <x:c r="E626" s="1" t="str">
        <x:v>Editorial</x:v>
      </x:c>
      <x:c r="F626" s="1" t="str">
        <x:v>Workbook</x:v>
      </x:c>
      <x:c r="G626" s="1" t="str">
        <x:v>High</x:v>
      </x:c>
      <x:c r="H626" s="1" t="str">
        <x:v>AI-Assisted</x:v>
      </x:c>
      <x:c r="I626" s="1" t="str">
        <x:v>Few-shot v2</x:v>
      </x:c>
      <x:c r="J626" s="1" t="n">
        <x:v>72</x:v>
      </x:c>
      <x:c r="K626" s="6" t="n">
        <x:v>23.1</x:v>
      </x:c>
      <x:c r="L626" s="6" t="n">
        <x:v>41.8</x:v>
      </x:c>
      <x:c r="M626" s="6" t="n">
        <x:v>18.7</x:v>
      </x:c>
      <x:c r="N626" s="6" t="n">
        <x:v>16134.05</x:v>
      </x:c>
      <x:c r="O626" s="6" t="n">
        <x:v>29206.43</x:v>
      </x:c>
      <x:c r="P626" s="6" t="n">
        <x:v>13072.38</x:v>
      </x:c>
      <x:c r="Q626" s="1" t="n">
        <x:v>1</x:v>
      </x:c>
      <x:c r="R626" s="1" t="str">
        <x:v>No</x:v>
      </x:c>
      <x:c r="S626" s="7" t="n">
        <x:v>90.6</x:v>
      </x:c>
      <x:c r="T626" s="1" t="str">
        <x:v>Yes</x:v>
      </x:c>
      <x:c r="U626" s="1" t="str">
        <x:v>Completed</x:v>
      </x:c>
    </x:row>
    <x:row r="627">
      <x:c r="A627" s="1" t="str">
        <x:v>PUB-0626</x:v>
      </x:c>
      <x:c r="B627" s="5" t="n">
        <x:v>46199</x:v>
      </x:c>
      <x:c r="C627" s="5" t="n">
        <x:v>46208</x:v>
      </x:c>
      <x:c r="D627" s="5" t="n">
        <x:v>46200</x:v>
      </x:c>
      <x:c r="E627" s="1" t="str">
        <x:v>Production</x:v>
      </x:c>
      <x:c r="F627" s="1" t="str">
        <x:v>School Textbook</x:v>
      </x:c>
      <x:c r="G627" s="1" t="str">
        <x:v>High</x:v>
      </x:c>
      <x:c r="H627" s="1" t="str">
        <x:v>AI-Assisted</x:v>
      </x:c>
      <x:c r="I627" s="1" t="str">
        <x:v>Editorial QA</x:v>
      </x:c>
      <x:c r="J627" s="1" t="n">
        <x:v>30</x:v>
      </x:c>
      <x:c r="K627" s="6" t="n">
        <x:v>10.1</x:v>
      </x:c>
      <x:c r="L627" s="6" t="n">
        <x:v>15.4</x:v>
      </x:c>
      <x:c r="M627" s="6" t="n">
        <x:v>5.3</x:v>
      </x:c>
      <x:c r="N627" s="6" t="n">
        <x:v>7172.79</x:v>
      </x:c>
      <x:c r="O627" s="6" t="n">
        <x:v>10931.61</x:v>
      </x:c>
      <x:c r="P627" s="6" t="n">
        <x:v>3758.82</x:v>
      </x:c>
      <x:c r="Q627" s="1" t="n">
        <x:v>0</x:v>
      </x:c>
      <x:c r="R627" s="1" t="str">
        <x:v>Yes</x:v>
      </x:c>
      <x:c r="S627" s="7" t="n">
        <x:v>85.2</x:v>
      </x:c>
      <x:c r="T627" s="1" t="str">
        <x:v>Yes</x:v>
      </x:c>
      <x:c r="U627" s="1" t="str">
        <x:v>Completed</x:v>
      </x:c>
    </x:row>
    <x:row r="628">
      <x:c r="A628" s="1" t="str">
        <x:v>PUB-0627</x:v>
      </x:c>
      <x:c r="B628" s="5" t="n">
        <x:v>46114</x:v>
      </x:c>
      <x:c r="C628" s="5" t="n">
        <x:v>46136</x:v>
      </x:c>
      <x:c r="D628" s="5" t="str"/>
      <x:c r="E628" s="1" t="str">
        <x:v>Digital Learning</x:v>
      </x:c>
      <x:c r="F628" s="1" t="str">
        <x:v>School Textbook</x:v>
      </x:c>
      <x:c r="G628" s="1" t="str">
        <x:v>Medium</x:v>
      </x:c>
      <x:c r="H628" s="1" t="str">
        <x:v>AI-Assisted</x:v>
      </x:c>
      <x:c r="I628" s="1" t="str">
        <x:v>Few-shot v2</x:v>
      </x:c>
      <x:c r="J628" s="1" t="n">
        <x:v>193</x:v>
      </x:c>
      <x:c r="K628" s="6" t="n">
        <x:v>61.9</x:v>
      </x:c>
      <x:c r="L628" s="6" t="n">
        <x:v>101.8</x:v>
      </x:c>
      <x:c r="M628" s="6" t="n">
        <x:v>39.9</x:v>
      </x:c>
      <x:c r="N628" s="6" t="n">
        <x:v>44991.16</x:v>
      </x:c>
      <x:c r="O628" s="6" t="n">
        <x:v>73985.78</x:v>
      </x:c>
      <x:c r="P628" s="6" t="n">
        <x:v>28994.62</x:v>
      </x:c>
      <x:c r="Q628" s="1" t="n">
        <x:v>1</x:v>
      </x:c>
      <x:c r="R628" s="1" t="str"/>
      <x:c r="S628" s="7" t="n">
        <x:v>84.6</x:v>
      </x:c>
      <x:c r="T628" s="1" t="str"/>
      <x:c r="U628" s="1" t="str">
        <x:v>In Progress</x:v>
      </x:c>
    </x:row>
    <x:row r="629">
      <x:c r="A629" s="1" t="str">
        <x:v>PUB-0628</x:v>
      </x:c>
      <x:c r="B629" s="5" t="n">
        <x:v>46032</x:v>
      </x:c>
      <x:c r="C629" s="5" t="n">
        <x:v>46037</x:v>
      </x:c>
      <x:c r="D629" s="5" t="n">
        <x:v>46035</x:v>
      </x:c>
      <x:c r="E629" s="1" t="str">
        <x:v>Design</x:v>
      </x:c>
      <x:c r="F629" s="1" t="str">
        <x:v>Illustration</x:v>
      </x:c>
      <x:c r="G629" s="1" t="str">
        <x:v>Medium</x:v>
      </x:c>
      <x:c r="H629" s="1" t="str">
        <x:v>Manual</x:v>
      </x:c>
      <x:c r="I629" s="1" t="str">
        <x:v>Manual / NA</x:v>
      </x:c>
      <x:c r="J629" s="1" t="n">
        <x:v>12</x:v>
      </x:c>
      <x:c r="K629" s="6" t="n">
        <x:v>6.1</x:v>
      </x:c>
      <x:c r="L629" s="6" t="n">
        <x:v>5.7</x:v>
      </x:c>
      <x:c r="M629" s="6" t="n">
        <x:v>0</x:v>
      </x:c>
      <x:c r="N629" s="6" t="n">
        <x:v>6377.2</x:v>
      </x:c>
      <x:c r="O629" s="6" t="n">
        <x:v>5961.88</x:v>
      </x:c>
      <x:c r="P629" s="6" t="n">
        <x:v>0</x:v>
      </x:c>
      <x:c r="Q629" s="1" t="n">
        <x:v>1</x:v>
      </x:c>
      <x:c r="R629" s="1" t="str">
        <x:v>No</x:v>
      </x:c>
      <x:c r="S629" s="7" t="n">
        <x:v>72.1</x:v>
      </x:c>
      <x:c r="T629" s="1" t="str">
        <x:v>Yes</x:v>
      </x:c>
      <x:c r="U629" s="1" t="str">
        <x:v>Completed</x:v>
      </x:c>
    </x:row>
    <x:row r="630">
      <x:c r="A630" s="1" t="str">
        <x:v>PUB-0629</x:v>
      </x:c>
      <x:c r="B630" s="5" t="n">
        <x:v>45720</x:v>
      </x:c>
      <x:c r="C630" s="5" t="n">
        <x:v>45728</x:v>
      </x:c>
      <x:c r="D630" s="5" t="n">
        <x:v>45723</x:v>
      </x:c>
      <x:c r="E630" s="1" t="str">
        <x:v>Digital Learning</x:v>
      </x:c>
      <x:c r="F630" s="1" t="str">
        <x:v>Illustration</x:v>
      </x:c>
      <x:c r="G630" s="1" t="str">
        <x:v>Medium</x:v>
      </x:c>
      <x:c r="H630" s="1" t="str">
        <x:v>Manual</x:v>
      </x:c>
      <x:c r="I630" s="1" t="str">
        <x:v>Manual / NA</x:v>
      </x:c>
      <x:c r="J630" s="1" t="n">
        <x:v>54</x:v>
      </x:c>
      <x:c r="K630" s="6" t="n">
        <x:v>25.3</x:v>
      </x:c>
      <x:c r="L630" s="6" t="n">
        <x:v>25.8</x:v>
      </x:c>
      <x:c r="M630" s="6" t="n">
        <x:v>0.5</x:v>
      </x:c>
      <x:c r="N630" s="6" t="n">
        <x:v>17393.57</x:v>
      </x:c>
      <x:c r="O630" s="6" t="n">
        <x:v>17713.76</x:v>
      </x:c>
      <x:c r="P630" s="6" t="n">
        <x:v>320.19</x:v>
      </x:c>
      <x:c r="Q630" s="1" t="n">
        <x:v>0</x:v>
      </x:c>
      <x:c r="R630" s="1" t="str">
        <x:v>Yes</x:v>
      </x:c>
      <x:c r="S630" s="7" t="n">
        <x:v>77.9</x:v>
      </x:c>
      <x:c r="T630" s="1" t="str">
        <x:v>Yes</x:v>
      </x:c>
      <x:c r="U630" s="1" t="str">
        <x:v>Completed</x:v>
      </x:c>
    </x:row>
    <x:row r="631">
      <x:c r="A631" s="1" t="str">
        <x:v>PUB-0630</x:v>
      </x:c>
      <x:c r="B631" s="5" t="n">
        <x:v>45869</x:v>
      </x:c>
      <x:c r="C631" s="5" t="n">
        <x:v>45886</x:v>
      </x:c>
      <x:c r="D631" s="5" t="n">
        <x:v>45878</x:v>
      </x:c>
      <x:c r="E631" s="1" t="str">
        <x:v>Editorial</x:v>
      </x:c>
      <x:c r="F631" s="1" t="str">
        <x:v>School Textbook</x:v>
      </x:c>
      <x:c r="G631" s="1" t="str">
        <x:v>Medium</x:v>
      </x:c>
      <x:c r="H631" s="1" t="str">
        <x:v>AI-Assisted</x:v>
      </x:c>
      <x:c r="I631" s="1" t="str">
        <x:v>Editorial QA</x:v>
      </x:c>
      <x:c r="J631" s="1" t="n">
        <x:v>210</x:v>
      </x:c>
      <x:c r="K631" s="6" t="n">
        <x:v>64.6</x:v>
      </x:c>
      <x:c r="L631" s="6" t="n">
        <x:v>98.9</x:v>
      </x:c>
      <x:c r="M631" s="6" t="n">
        <x:v>34.3</x:v>
      </x:c>
      <x:c r="N631" s="6" t="n">
        <x:v>50350.36</x:v>
      </x:c>
      <x:c r="O631" s="6" t="n">
        <x:v>77065.96</x:v>
      </x:c>
      <x:c r="P631" s="6" t="n">
        <x:v>26715.6</x:v>
      </x:c>
      <x:c r="Q631" s="1" t="n">
        <x:v>0</x:v>
      </x:c>
      <x:c r="R631" s="1" t="str">
        <x:v>Yes</x:v>
      </x:c>
      <x:c r="S631" s="7" t="n">
        <x:v>88.6</x:v>
      </x:c>
      <x:c r="T631" s="1" t="str">
        <x:v>Yes</x:v>
      </x:c>
      <x:c r="U631" s="1" t="str">
        <x:v>Completed</x:v>
      </x:c>
    </x:row>
    <x:row r="632">
      <x:c r="A632" s="1" t="str">
        <x:v>PUB-0631</x:v>
      </x:c>
      <x:c r="B632" s="5" t="n">
        <x:v>45779</x:v>
      </x:c>
      <x:c r="C632" s="5" t="n">
        <x:v>45784</x:v>
      </x:c>
      <x:c r="D632" s="5" t="n">
        <x:v>45784</x:v>
      </x:c>
      <x:c r="E632" s="1" t="str">
        <x:v>Editorial</x:v>
      </x:c>
      <x:c r="F632" s="1" t="str">
        <x:v>School Textbook</x:v>
      </x:c>
      <x:c r="G632" s="1" t="str">
        <x:v>High</x:v>
      </x:c>
      <x:c r="H632" s="1" t="str">
        <x:v>AI-Assisted</x:v>
      </x:c>
      <x:c r="I632" s="1" t="str">
        <x:v>Structured v3</x:v>
      </x:c>
      <x:c r="J632" s="1" t="n">
        <x:v>45</x:v>
      </x:c>
      <x:c r="K632" s="6" t="n">
        <x:v>12.8</x:v>
      </x:c>
      <x:c r="L632" s="6" t="n">
        <x:v>25</x:v>
      </x:c>
      <x:c r="M632" s="6" t="n">
        <x:v>12.2</x:v>
      </x:c>
      <x:c r="N632" s="6" t="n">
        <x:v>13909.65</x:v>
      </x:c>
      <x:c r="O632" s="6" t="n">
        <x:v>27182.2</x:v>
      </x:c>
      <x:c r="P632" s="6" t="n">
        <x:v>13272.55</x:v>
      </x:c>
      <x:c r="Q632" s="1" t="n">
        <x:v>3</x:v>
      </x:c>
      <x:c r="R632" s="1" t="str">
        <x:v>No</x:v>
      </x:c>
      <x:c r="S632" s="7" t="n">
        <x:v>88</x:v>
      </x:c>
      <x:c r="T632" s="1" t="str">
        <x:v>Yes</x:v>
      </x:c>
      <x:c r="U632" s="1" t="str">
        <x:v>Completed</x:v>
      </x:c>
    </x:row>
    <x:row r="633">
      <x:c r="A633" s="1" t="str">
        <x:v>PUB-0632</x:v>
      </x:c>
      <x:c r="B633" s="5" t="n">
        <x:v>46035</x:v>
      </x:c>
      <x:c r="C633" s="5" t="n">
        <x:v>46047</x:v>
      </x:c>
      <x:c r="D633" s="5" t="n">
        <x:v>46044</x:v>
      </x:c>
      <x:c r="E633" s="1" t="str">
        <x:v>Editorial</x:v>
      </x:c>
      <x:c r="F633" s="1" t="str">
        <x:v>E-book</x:v>
      </x:c>
      <x:c r="G633" s="1" t="str">
        <x:v>Medium</x:v>
      </x:c>
      <x:c r="H633" s="1" t="str">
        <x:v>Manual</x:v>
      </x:c>
      <x:c r="I633" s="1" t="str">
        <x:v>Manual / NA</x:v>
      </x:c>
      <x:c r="J633" s="1" t="n">
        <x:v>75</x:v>
      </x:c>
      <x:c r="K633" s="6" t="n">
        <x:v>33.8</x:v>
      </x:c>
      <x:c r="L633" s="6" t="n">
        <x:v>33.7</x:v>
      </x:c>
      <x:c r="M633" s="6" t="n">
        <x:v>0</x:v>
      </x:c>
      <x:c r="N633" s="6" t="n">
        <x:v>27456.33</x:v>
      </x:c>
      <x:c r="O633" s="6" t="n">
        <x:v>27405.69</x:v>
      </x:c>
      <x:c r="P633" s="6" t="n">
        <x:v>0</x:v>
      </x:c>
      <x:c r="Q633" s="1" t="n">
        <x:v>2</x:v>
      </x:c>
      <x:c r="R633" s="1" t="str">
        <x:v>No</x:v>
      </x:c>
      <x:c r="S633" s="7" t="n">
        <x:v>81.6</x:v>
      </x:c>
      <x:c r="T633" s="1" t="str">
        <x:v>Yes</x:v>
      </x:c>
      <x:c r="U633" s="1" t="str">
        <x:v>Completed</x:v>
      </x:c>
    </x:row>
    <x:row r="634">
      <x:c r="A634" s="1" t="str">
        <x:v>PUB-0633</x:v>
      </x:c>
      <x:c r="B634" s="5" t="n">
        <x:v>45944</x:v>
      </x:c>
      <x:c r="C634" s="5" t="n">
        <x:v>45968</x:v>
      </x:c>
      <x:c r="D634" s="5" t="n">
        <x:v>45956</x:v>
      </x:c>
      <x:c r="E634" s="1" t="str">
        <x:v>Editorial</x:v>
      </x:c>
      <x:c r="F634" s="1" t="str">
        <x:v>E-book</x:v>
      </x:c>
      <x:c r="G634" s="1" t="str">
        <x:v>High</x:v>
      </x:c>
      <x:c r="H634" s="1" t="str">
        <x:v>AI-Assisted</x:v>
      </x:c>
      <x:c r="I634" s="1" t="str">
        <x:v>Visual Brief</x:v>
      </x:c>
      <x:c r="J634" s="1" t="n">
        <x:v>207</x:v>
      </x:c>
      <x:c r="K634" s="6" t="n">
        <x:v>87.2</x:v>
      </x:c>
      <x:c r="L634" s="6" t="n">
        <x:v>133.4</x:v>
      </x:c>
      <x:c r="M634" s="6" t="n">
        <x:v>46.2</x:v>
      </x:c>
      <x:c r="N634" s="6" t="n">
        <x:v>86681.83</x:v>
      </x:c>
      <x:c r="O634" s="6" t="n">
        <x:v>132635</x:v>
      </x:c>
      <x:c r="P634" s="6" t="n">
        <x:v>45953.17</x:v>
      </x:c>
      <x:c r="Q634" s="1" t="n">
        <x:v>0</x:v>
      </x:c>
      <x:c r="R634" s="1" t="str">
        <x:v>Yes</x:v>
      </x:c>
      <x:c r="S634" s="7" t="n">
        <x:v>88.6</x:v>
      </x:c>
      <x:c r="T634" s="1" t="str">
        <x:v>Yes</x:v>
      </x:c>
      <x:c r="U634" s="1" t="str">
        <x:v>Completed</x:v>
      </x:c>
    </x:row>
    <x:row r="635">
      <x:c r="A635" s="1" t="str">
        <x:v>PUB-0634</x:v>
      </x:c>
      <x:c r="B635" s="5" t="n">
        <x:v>46110</x:v>
      </x:c>
      <x:c r="C635" s="5" t="n">
        <x:v>46127</x:v>
      </x:c>
      <x:c r="D635" s="5" t="n">
        <x:v>46119</x:v>
      </x:c>
      <x:c r="E635" s="1" t="str">
        <x:v>Editorial</x:v>
      </x:c>
      <x:c r="F635" s="1" t="str">
        <x:v>Workbook</x:v>
      </x:c>
      <x:c r="G635" s="1" t="str">
        <x:v>Medium</x:v>
      </x:c>
      <x:c r="H635" s="1" t="str">
        <x:v>AI-Assisted</x:v>
      </x:c>
      <x:c r="I635" s="1" t="str">
        <x:v>Editorial QA</x:v>
      </x:c>
      <x:c r="J635" s="1" t="n">
        <x:v>200</x:v>
      </x:c>
      <x:c r="K635" s="6" t="n">
        <x:v>60</x:v>
      </x:c>
      <x:c r="L635" s="6" t="n">
        <x:v>91.6</x:v>
      </x:c>
      <x:c r="M635" s="6" t="n">
        <x:v>31.6</x:v>
      </x:c>
      <x:c r="N635" s="6" t="n">
        <x:v>52017.11</x:v>
      </x:c>
      <x:c r="O635" s="6" t="n">
        <x:v>79435.72</x:v>
      </x:c>
      <x:c r="P635" s="6" t="n">
        <x:v>27418.61</x:v>
      </x:c>
      <x:c r="Q635" s="1" t="n">
        <x:v>1</x:v>
      </x:c>
      <x:c r="R635" s="1" t="str">
        <x:v>No</x:v>
      </x:c>
      <x:c r="S635" s="7" t="n">
        <x:v>95.1</x:v>
      </x:c>
      <x:c r="T635" s="1" t="str">
        <x:v>Yes</x:v>
      </x:c>
      <x:c r="U635" s="1" t="str">
        <x:v>Completed</x:v>
      </x:c>
    </x:row>
    <x:row r="636">
      <x:c r="A636" s="1" t="str">
        <x:v>PUB-0635</x:v>
      </x:c>
      <x:c r="B636" s="5" t="n">
        <x:v>45838</x:v>
      </x:c>
      <x:c r="C636" s="5" t="n">
        <x:v>45843</x:v>
      </x:c>
      <x:c r="D636" s="5" t="str"/>
      <x:c r="E636" s="1" t="str">
        <x:v>Editorial</x:v>
      </x:c>
      <x:c r="F636" s="1" t="str">
        <x:v>Assessment</x:v>
      </x:c>
      <x:c r="G636" s="1" t="str">
        <x:v>Low</x:v>
      </x:c>
      <x:c r="H636" s="1" t="str">
        <x:v>Manual</x:v>
      </x:c>
      <x:c r="I636" s="1" t="str">
        <x:v>Manual / NA</x:v>
      </x:c>
      <x:c r="J636" s="1" t="n">
        <x:v>40</x:v>
      </x:c>
      <x:c r="K636" s="6" t="n">
        <x:v>11.9</x:v>
      </x:c>
      <x:c r="L636" s="6" t="n">
        <x:v>13</x:v>
      </x:c>
      <x:c r="M636" s="6" t="n">
        <x:v>1.1</x:v>
      </x:c>
      <x:c r="N636" s="6" t="n">
        <x:v>10080.47</x:v>
      </x:c>
      <x:c r="O636" s="6" t="n">
        <x:v>10998.41</x:v>
      </x:c>
      <x:c r="P636" s="6" t="n">
        <x:v>917.94</x:v>
      </x:c>
      <x:c r="Q636" s="1" t="n">
        <x:v>0</x:v>
      </x:c>
      <x:c r="R636" s="1" t="str"/>
      <x:c r="S636" s="7" t="n">
        <x:v>86.9</x:v>
      </x:c>
      <x:c r="T636" s="1" t="str"/>
      <x:c r="U636" s="1" t="str">
        <x:v>In Review</x:v>
      </x:c>
    </x:row>
    <x:row r="637">
      <x:c r="A637" s="1" t="str">
        <x:v>PUB-0636</x:v>
      </x:c>
      <x:c r="B637" s="5" t="n">
        <x:v>46070</x:v>
      </x:c>
      <x:c r="C637" s="5" t="n">
        <x:v>46079</x:v>
      </x:c>
      <x:c r="D637" s="5" t="n">
        <x:v>46071</x:v>
      </x:c>
      <x:c r="E637" s="1" t="str">
        <x:v>Editorial</x:v>
      </x:c>
      <x:c r="F637" s="1" t="str">
        <x:v>Assessment</x:v>
      </x:c>
      <x:c r="G637" s="1" t="str">
        <x:v>Medium</x:v>
      </x:c>
      <x:c r="H637" s="1" t="str">
        <x:v>Manual</x:v>
      </x:c>
      <x:c r="I637" s="1" t="str">
        <x:v>Manual / NA</x:v>
      </x:c>
      <x:c r="J637" s="1" t="n">
        <x:v>5</x:v>
      </x:c>
      <x:c r="K637" s="6" t="n">
        <x:v>2</x:v>
      </x:c>
      <x:c r="L637" s="6" t="n">
        <x:v>2.2</x:v>
      </x:c>
      <x:c r="M637" s="6" t="n">
        <x:v>0.2</x:v>
      </x:c>
      <x:c r="N637" s="6" t="n">
        <x:v>2126.56</x:v>
      </x:c>
      <x:c r="O637" s="6" t="n">
        <x:v>2355.87</x:v>
      </x:c>
      <x:c r="P637" s="6" t="n">
        <x:v>229.31</x:v>
      </x:c>
      <x:c r="Q637" s="1" t="n">
        <x:v>0</x:v>
      </x:c>
      <x:c r="R637" s="1" t="str">
        <x:v>Yes</x:v>
      </x:c>
      <x:c r="S637" s="7" t="n">
        <x:v>85.9</x:v>
      </x:c>
      <x:c r="T637" s="1" t="str">
        <x:v>Yes</x:v>
      </x:c>
      <x:c r="U637" s="1" t="str">
        <x:v>Completed</x:v>
      </x:c>
    </x:row>
    <x:row r="638">
      <x:c r="A638" s="1" t="str">
        <x:v>PUB-0637</x:v>
      </x:c>
      <x:c r="B638" s="5" t="n">
        <x:v>45743</x:v>
      </x:c>
      <x:c r="C638" s="5" t="n">
        <x:v>45751</x:v>
      </x:c>
      <x:c r="D638" s="5" t="n">
        <x:v>45744</x:v>
      </x:c>
      <x:c r="E638" s="1" t="str">
        <x:v>Editorial</x:v>
      </x:c>
      <x:c r="F638" s="1" t="str">
        <x:v>E-book</x:v>
      </x:c>
      <x:c r="G638" s="1" t="str">
        <x:v>High</x:v>
      </x:c>
      <x:c r="H638" s="1" t="str">
        <x:v>AI-Assisted</x:v>
      </x:c>
      <x:c r="I638" s="1" t="str">
        <x:v>Editorial QA</x:v>
      </x:c>
      <x:c r="J638" s="1" t="n">
        <x:v>10</x:v>
      </x:c>
      <x:c r="K638" s="6" t="n">
        <x:v>3.3</x:v>
      </x:c>
      <x:c r="L638" s="6" t="n">
        <x:v>5.1</x:v>
      </x:c>
      <x:c r="M638" s="6" t="n">
        <x:v>1.8</x:v>
      </x:c>
      <x:c r="N638" s="6" t="n">
        <x:v>2703.34</x:v>
      </x:c>
      <x:c r="O638" s="6" t="n">
        <x:v>4145.79</x:v>
      </x:c>
      <x:c r="P638" s="6" t="n">
        <x:v>1442.45</x:v>
      </x:c>
      <x:c r="Q638" s="1" t="n">
        <x:v>0</x:v>
      </x:c>
      <x:c r="R638" s="1" t="str">
        <x:v>Yes</x:v>
      </x:c>
      <x:c r="S638" s="7" t="n">
        <x:v>90.9</x:v>
      </x:c>
      <x:c r="T638" s="1" t="str">
        <x:v>Yes</x:v>
      </x:c>
      <x:c r="U638" s="1" t="str">
        <x:v>Completed</x:v>
      </x:c>
    </x:row>
    <x:row r="639">
      <x:c r="A639" s="1" t="str">
        <x:v>PUB-0638</x:v>
      </x:c>
      <x:c r="B639" s="5" t="n">
        <x:v>45972</x:v>
      </x:c>
      <x:c r="C639" s="5" t="n">
        <x:v>45985</x:v>
      </x:c>
      <x:c r="D639" s="5" t="n">
        <x:v>45978</x:v>
      </x:c>
      <x:c r="E639" s="1" t="str">
        <x:v>Design</x:v>
      </x:c>
      <x:c r="F639" s="1" t="str">
        <x:v>School Textbook</x:v>
      </x:c>
      <x:c r="G639" s="1" t="str">
        <x:v>Medium</x:v>
      </x:c>
      <x:c r="H639" s="1" t="str">
        <x:v>AI-Assisted</x:v>
      </x:c>
      <x:c r="I639" s="1" t="str">
        <x:v>Editorial QA</x:v>
      </x:c>
      <x:c r="J639" s="1" t="n">
        <x:v>168</x:v>
      </x:c>
      <x:c r="K639" s="6" t="n">
        <x:v>30.1</x:v>
      </x:c>
      <x:c r="L639" s="6" t="n">
        <x:v>61.3</x:v>
      </x:c>
      <x:c r="M639" s="6" t="n">
        <x:v>31.2</x:v>
      </x:c>
      <x:c r="N639" s="6" t="n">
        <x:v>27761.86</x:v>
      </x:c>
      <x:c r="O639" s="6" t="n">
        <x:v>56504.93</x:v>
      </x:c>
      <x:c r="P639" s="6" t="n">
        <x:v>28743.07</x:v>
      </x:c>
      <x:c r="Q639" s="1" t="n">
        <x:v>2</x:v>
      </x:c>
      <x:c r="R639" s="1" t="str">
        <x:v>No</x:v>
      </x:c>
      <x:c r="S639" s="7" t="n">
        <x:v>91.8</x:v>
      </x:c>
      <x:c r="T639" s="1" t="str">
        <x:v>Yes</x:v>
      </x:c>
      <x:c r="U639" s="1" t="str">
        <x:v>Completed</x:v>
      </x:c>
    </x:row>
    <x:row r="640">
      <x:c r="A640" s="1" t="str">
        <x:v>PUB-0639</x:v>
      </x:c>
      <x:c r="B640" s="5" t="n">
        <x:v>45887</x:v>
      </x:c>
      <x:c r="C640" s="5" t="n">
        <x:v>45896</x:v>
      </x:c>
      <x:c r="D640" s="5" t="str"/>
      <x:c r="E640" s="1" t="str">
        <x:v>Editorial</x:v>
      </x:c>
      <x:c r="F640" s="1" t="str">
        <x:v>Workbook</x:v>
      </x:c>
      <x:c r="G640" s="1" t="str">
        <x:v>High</x:v>
      </x:c>
      <x:c r="H640" s="1" t="str">
        <x:v>AI-Assisted</x:v>
      </x:c>
      <x:c r="I640" s="1" t="str">
        <x:v>Editorial QA</x:v>
      </x:c>
      <x:c r="J640" s="1" t="n">
        <x:v>65</x:v>
      </x:c>
      <x:c r="K640" s="6" t="n">
        <x:v>28.2</x:v>
      </x:c>
      <x:c r="L640" s="6" t="n">
        <x:v>43.8</x:v>
      </x:c>
      <x:c r="M640" s="6" t="n">
        <x:v>15.6</x:v>
      </x:c>
      <x:c r="N640" s="6" t="n">
        <x:v>28409.4</x:v>
      </x:c>
      <x:c r="O640" s="6" t="n">
        <x:v>44132.36</x:v>
      </x:c>
      <x:c r="P640" s="6" t="n">
        <x:v>15722.96</x:v>
      </x:c>
      <x:c r="Q640" s="1" t="n">
        <x:v>0</x:v>
      </x:c>
      <x:c r="R640" s="1" t="str"/>
      <x:c r="S640" s="7" t="n">
        <x:v>72.2</x:v>
      </x:c>
      <x:c r="T640" s="1" t="str"/>
      <x:c r="U640" s="1" t="str">
        <x:v>In Progress</x:v>
      </x:c>
    </x:row>
    <x:row r="641">
      <x:c r="A641" s="1" t="str">
        <x:v>PUB-0640</x:v>
      </x:c>
      <x:c r="B641" s="5" t="n">
        <x:v>45946</x:v>
      </x:c>
      <x:c r="C641" s="5" t="n">
        <x:v>45955</x:v>
      </x:c>
      <x:c r="D641" s="5" t="n">
        <x:v>45947</x:v>
      </x:c>
      <x:c r="E641" s="1" t="str">
        <x:v>Design</x:v>
      </x:c>
      <x:c r="F641" s="1" t="str">
        <x:v>Assessment</x:v>
      </x:c>
      <x:c r="G641" s="1" t="str">
        <x:v>High</x:v>
      </x:c>
      <x:c r="H641" s="1" t="str">
        <x:v>AI-Assisted</x:v>
      </x:c>
      <x:c r="I641" s="1" t="str">
        <x:v>Visual Brief</x:v>
      </x:c>
      <x:c r="J641" s="1" t="n">
        <x:v>14</x:v>
      </x:c>
      <x:c r="K641" s="6" t="n">
        <x:v>4.8</x:v>
      </x:c>
      <x:c r="L641" s="6" t="n">
        <x:v>9.1</x:v>
      </x:c>
      <x:c r="M641" s="6" t="n">
        <x:v>4.3</x:v>
      </x:c>
      <x:c r="N641" s="6" t="n">
        <x:v>4393.15</x:v>
      </x:c>
      <x:c r="O641" s="6" t="n">
        <x:v>8338.28</x:v>
      </x:c>
      <x:c r="P641" s="6" t="n">
        <x:v>3945.13</x:v>
      </x:c>
      <x:c r="Q641" s="1" t="n">
        <x:v>0</x:v>
      </x:c>
      <x:c r="R641" s="1" t="str">
        <x:v>Yes</x:v>
      </x:c>
      <x:c r="S641" s="7" t="n">
        <x:v>89.9</x:v>
      </x:c>
      <x:c r="T641" s="1" t="str">
        <x:v>Yes</x:v>
      </x:c>
      <x:c r="U641" s="1" t="str">
        <x:v>Completed</x:v>
      </x:c>
    </x:row>
    <x:row r="642">
      <x:c r="A642" s="1" t="str">
        <x:v>PUB-0641</x:v>
      </x:c>
      <x:c r="B642" s="5" t="n">
        <x:v>45966</x:v>
      </x:c>
      <x:c r="C642" s="5" t="n">
        <x:v>45976</x:v>
      </x:c>
      <x:c r="D642" s="5" t="n">
        <x:v>45973</x:v>
      </x:c>
      <x:c r="E642" s="1" t="str">
        <x:v>Production</x:v>
      </x:c>
      <x:c r="F642" s="1" t="str">
        <x:v>Workbook</x:v>
      </x:c>
      <x:c r="G642" s="1" t="str">
        <x:v>High</x:v>
      </x:c>
      <x:c r="H642" s="1" t="str">
        <x:v>Manual</x:v>
      </x:c>
      <x:c r="I642" s="1" t="str">
        <x:v>Manual / NA</x:v>
      </x:c>
      <x:c r="J642" s="1" t="n">
        <x:v>77</x:v>
      </x:c>
      <x:c r="K642" s="6" t="n">
        <x:v>54.8</x:v>
      </x:c>
      <x:c r="L642" s="6" t="n">
        <x:v>51.4</x:v>
      </x:c>
      <x:c r="M642" s="6" t="n">
        <x:v>0</x:v>
      </x:c>
      <x:c r="N642" s="6" t="n">
        <x:v>57833.71</x:v>
      </x:c>
      <x:c r="O642" s="6" t="n">
        <x:v>54232.03</x:v>
      </x:c>
      <x:c r="P642" s="6" t="n">
        <x:v>0</x:v>
      </x:c>
      <x:c r="Q642" s="1" t="n">
        <x:v>0</x:v>
      </x:c>
      <x:c r="R642" s="1" t="str">
        <x:v>Yes</x:v>
      </x:c>
      <x:c r="S642" s="7" t="n">
        <x:v>85.3</x:v>
      </x:c>
      <x:c r="T642" s="1" t="str">
        <x:v>Yes</x:v>
      </x:c>
      <x:c r="U642" s="1" t="str">
        <x:v>Completed</x:v>
      </x:c>
    </x:row>
    <x:row r="643">
      <x:c r="A643" s="1" t="str">
        <x:v>PUB-0642</x:v>
      </x:c>
      <x:c r="B643" s="5" t="n">
        <x:v>45809</x:v>
      </x:c>
      <x:c r="C643" s="5" t="n">
        <x:v>45816</x:v>
      </x:c>
      <x:c r="D643" s="5" t="n">
        <x:v>45814</x:v>
      </x:c>
      <x:c r="E643" s="1" t="str">
        <x:v>Design</x:v>
      </x:c>
      <x:c r="F643" s="1" t="str">
        <x:v>Illustration</x:v>
      </x:c>
      <x:c r="G643" s="1" t="str">
        <x:v>High</x:v>
      </x:c>
      <x:c r="H643" s="1" t="str">
        <x:v>Manual</x:v>
      </x:c>
      <x:c r="I643" s="1" t="str">
        <x:v>Manual / NA</x:v>
      </x:c>
      <x:c r="J643" s="1" t="n">
        <x:v>65</x:v>
      </x:c>
      <x:c r="K643" s="6" t="n">
        <x:v>31.9</x:v>
      </x:c>
      <x:c r="L643" s="6" t="n">
        <x:v>33</x:v>
      </x:c>
      <x:c r="M643" s="6" t="n">
        <x:v>1.1</x:v>
      </x:c>
      <x:c r="N643" s="6" t="n">
        <x:v>32325.99</x:v>
      </x:c>
      <x:c r="O643" s="6" t="n">
        <x:v>33465.08</x:v>
      </x:c>
      <x:c r="P643" s="6" t="n">
        <x:v>1139.09</x:v>
      </x:c>
      <x:c r="Q643" s="1" t="n">
        <x:v>1</x:v>
      </x:c>
      <x:c r="R643" s="1" t="str">
        <x:v>No</x:v>
      </x:c>
      <x:c r="S643" s="7" t="n">
        <x:v>83.6</x:v>
      </x:c>
      <x:c r="T643" s="1" t="str">
        <x:v>Yes</x:v>
      </x:c>
      <x:c r="U643" s="1" t="str">
        <x:v>Completed</x:v>
      </x:c>
    </x:row>
    <x:row r="644">
      <x:c r="A644" s="1" t="str">
        <x:v>PUB-0643</x:v>
      </x:c>
      <x:c r="B644" s="5" t="n">
        <x:v>46019</x:v>
      </x:c>
      <x:c r="C644" s="5" t="n">
        <x:v>46035</x:v>
      </x:c>
      <x:c r="D644" s="5" t="n">
        <x:v>46027</x:v>
      </x:c>
      <x:c r="E644" s="1" t="str">
        <x:v>Editorial</x:v>
      </x:c>
      <x:c r="F644" s="1" t="str">
        <x:v>Workbook</x:v>
      </x:c>
      <x:c r="G644" s="1" t="str">
        <x:v>Medium</x:v>
      </x:c>
      <x:c r="H644" s="1" t="str">
        <x:v>AI-Assisted</x:v>
      </x:c>
      <x:c r="I644" s="1" t="str">
        <x:v>Few-shot v2</x:v>
      </x:c>
      <x:c r="J644" s="1" t="n">
        <x:v>211</x:v>
      </x:c>
      <x:c r="K644" s="6" t="n">
        <x:v>58.2</x:v>
      </x:c>
      <x:c r="L644" s="6" t="n">
        <x:v>82.4</x:v>
      </x:c>
      <x:c r="M644" s="6" t="n">
        <x:v>24.2</x:v>
      </x:c>
      <x:c r="N644" s="6" t="n">
        <x:v>64648.7</x:v>
      </x:c>
      <x:c r="O644" s="6" t="n">
        <x:v>91503.72</x:v>
      </x:c>
      <x:c r="P644" s="6" t="n">
        <x:v>26855.02</x:v>
      </x:c>
      <x:c r="Q644" s="1" t="n">
        <x:v>0</x:v>
      </x:c>
      <x:c r="R644" s="1" t="str">
        <x:v>Yes</x:v>
      </x:c>
      <x:c r="S644" s="7" t="n">
        <x:v>82.5</x:v>
      </x:c>
      <x:c r="T644" s="1" t="str">
        <x:v>Yes</x:v>
      </x:c>
      <x:c r="U644" s="1" t="str">
        <x:v>Completed</x:v>
      </x:c>
    </x:row>
    <x:row r="645">
      <x:c r="A645" s="1" t="str">
        <x:v>PUB-0644</x:v>
      </x:c>
      <x:c r="B645" s="5" t="n">
        <x:v>45893</x:v>
      </x:c>
      <x:c r="C645" s="5" t="n">
        <x:v>45898</x:v>
      </x:c>
      <x:c r="D645" s="5" t="n">
        <x:v>45895</x:v>
      </x:c>
      <x:c r="E645" s="1" t="str">
        <x:v>Design</x:v>
      </x:c>
      <x:c r="F645" s="1" t="str">
        <x:v>Assessment</x:v>
      </x:c>
      <x:c r="G645" s="1" t="str">
        <x:v>Medium</x:v>
      </x:c>
      <x:c r="H645" s="1" t="str">
        <x:v>AI-Assisted</x:v>
      </x:c>
      <x:c r="I645" s="1" t="str">
        <x:v>Editorial QA</x:v>
      </x:c>
      <x:c r="J645" s="1" t="n">
        <x:v>32</x:v>
      </x:c>
      <x:c r="K645" s="6" t="n">
        <x:v>6.3</x:v>
      </x:c>
      <x:c r="L645" s="6" t="n">
        <x:v>13.2</x:v>
      </x:c>
      <x:c r="M645" s="6" t="n">
        <x:v>6.9</x:v>
      </x:c>
      <x:c r="N645" s="6" t="n">
        <x:v>7225.8</x:v>
      </x:c>
      <x:c r="O645" s="6" t="n">
        <x:v>15111.97</x:v>
      </x:c>
      <x:c r="P645" s="6" t="n">
        <x:v>7886.17</x:v>
      </x:c>
      <x:c r="Q645" s="1" t="n">
        <x:v>1</x:v>
      </x:c>
      <x:c r="R645" s="1" t="str">
        <x:v>No</x:v>
      </x:c>
      <x:c r="S645" s="7" t="n">
        <x:v>85.3</x:v>
      </x:c>
      <x:c r="T645" s="1" t="str">
        <x:v>Yes</x:v>
      </x:c>
      <x:c r="U645" s="1" t="str">
        <x:v>Completed</x:v>
      </x:c>
    </x:row>
    <x:row r="646">
      <x:c r="A646" s="1" t="str">
        <x:v>PUB-0645</x:v>
      </x:c>
      <x:c r="B646" s="5" t="n">
        <x:v>46015</x:v>
      </x:c>
      <x:c r="C646" s="5" t="n">
        <x:v>46019</x:v>
      </x:c>
      <x:c r="D646" s="5" t="n">
        <x:v>46017</x:v>
      </x:c>
      <x:c r="E646" s="1" t="str">
        <x:v>Design</x:v>
      </x:c>
      <x:c r="F646" s="1" t="str">
        <x:v>E-book</x:v>
      </x:c>
      <x:c r="G646" s="1" t="str">
        <x:v>Medium</x:v>
      </x:c>
      <x:c r="H646" s="1" t="str">
        <x:v>Manual</x:v>
      </x:c>
      <x:c r="I646" s="1" t="str">
        <x:v>Manual / NA</x:v>
      </x:c>
      <x:c r="J646" s="1" t="n">
        <x:v>43</x:v>
      </x:c>
      <x:c r="K646" s="6" t="n">
        <x:v>17.7</x:v>
      </x:c>
      <x:c r="L646" s="6" t="n">
        <x:v>16.8</x:v>
      </x:c>
      <x:c r="M646" s="6" t="n">
        <x:v>0</x:v>
      </x:c>
      <x:c r="N646" s="6" t="n">
        <x:v>20105.6</x:v>
      </x:c>
      <x:c r="O646" s="6" t="n">
        <x:v>19132.77</x:v>
      </x:c>
      <x:c r="P646" s="6" t="n">
        <x:v>0</x:v>
      </x:c>
      <x:c r="Q646" s="1" t="n">
        <x:v>0</x:v>
      </x:c>
      <x:c r="R646" s="1" t="str">
        <x:v>Yes</x:v>
      </x:c>
      <x:c r="S646" s="7" t="n">
        <x:v>85.5</x:v>
      </x:c>
      <x:c r="T646" s="1" t="str">
        <x:v>Yes</x:v>
      </x:c>
      <x:c r="U646" s="1" t="str">
        <x:v>Completed</x:v>
      </x:c>
    </x:row>
    <x:row r="647">
      <x:c r="A647" s="1" t="str">
        <x:v>PUB-0646</x:v>
      </x:c>
      <x:c r="B647" s="5" t="n">
        <x:v>45804</x:v>
      </x:c>
      <x:c r="C647" s="5" t="n">
        <x:v>45811</x:v>
      </x:c>
      <x:c r="D647" s="5" t="n">
        <x:v>45808</x:v>
      </x:c>
      <x:c r="E647" s="1" t="str">
        <x:v>Design</x:v>
      </x:c>
      <x:c r="F647" s="1" t="str">
        <x:v>School Textbook</x:v>
      </x:c>
      <x:c r="G647" s="1" t="str">
        <x:v>Low</x:v>
      </x:c>
      <x:c r="H647" s="1" t="str">
        <x:v>Manual</x:v>
      </x:c>
      <x:c r="I647" s="1" t="str">
        <x:v>Manual / NA</x:v>
      </x:c>
      <x:c r="J647" s="1" t="n">
        <x:v>103</x:v>
      </x:c>
      <x:c r="K647" s="6" t="n">
        <x:v>32.3</x:v>
      </x:c>
      <x:c r="L647" s="6" t="n">
        <x:v>32.4</x:v>
      </x:c>
      <x:c r="M647" s="6" t="n">
        <x:v>0.1</x:v>
      </x:c>
      <x:c r="N647" s="6" t="n">
        <x:v>28695.75</x:v>
      </x:c>
      <x:c r="O647" s="6" t="n">
        <x:v>28762.73</x:v>
      </x:c>
      <x:c r="P647" s="6" t="n">
        <x:v>66.98</x:v>
      </x:c>
      <x:c r="Q647" s="1" t="n">
        <x:v>0</x:v>
      </x:c>
      <x:c r="R647" s="1" t="str">
        <x:v>Yes</x:v>
      </x:c>
      <x:c r="S647" s="7" t="n">
        <x:v>95.3</x:v>
      </x:c>
      <x:c r="T647" s="1" t="str">
        <x:v>Yes</x:v>
      </x:c>
      <x:c r="U647" s="1" t="str">
        <x:v>Completed</x:v>
      </x:c>
    </x:row>
    <x:row r="648">
      <x:c r="A648" s="1" t="str">
        <x:v>PUB-0647</x:v>
      </x:c>
      <x:c r="B648" s="5" t="n">
        <x:v>45802</x:v>
      </x:c>
      <x:c r="C648" s="5" t="n">
        <x:v>45811</x:v>
      </x:c>
      <x:c r="D648" s="5" t="n">
        <x:v>45804</x:v>
      </x:c>
      <x:c r="E648" s="1" t="str">
        <x:v>Editorial</x:v>
      </x:c>
      <x:c r="F648" s="1" t="str">
        <x:v>School Textbook</x:v>
      </x:c>
      <x:c r="G648" s="1" t="str">
        <x:v>High</x:v>
      </x:c>
      <x:c r="H648" s="1" t="str">
        <x:v>AI-Assisted</x:v>
      </x:c>
      <x:c r="I648" s="1" t="str">
        <x:v>Visual Brief</x:v>
      </x:c>
      <x:c r="J648" s="1" t="n">
        <x:v>46</x:v>
      </x:c>
      <x:c r="K648" s="6" t="n">
        <x:v>14.5</x:v>
      </x:c>
      <x:c r="L648" s="6" t="n">
        <x:v>28.1</x:v>
      </x:c>
      <x:c r="M648" s="6" t="n">
        <x:v>13.6</x:v>
      </x:c>
      <x:c r="N648" s="6" t="n">
        <x:v>13249.01</x:v>
      </x:c>
      <x:c r="O648" s="6" t="n">
        <x:v>25707.2</x:v>
      </x:c>
      <x:c r="P648" s="6" t="n">
        <x:v>12458.19</x:v>
      </x:c>
      <x:c r="Q648" s="1" t="n">
        <x:v>0</x:v>
      </x:c>
      <x:c r="R648" s="1" t="str">
        <x:v>Yes</x:v>
      </x:c>
      <x:c r="S648" s="7" t="n">
        <x:v>80.3</x:v>
      </x:c>
      <x:c r="T648" s="1" t="str">
        <x:v>Yes</x:v>
      </x:c>
      <x:c r="U648" s="1" t="str">
        <x:v>Completed</x:v>
      </x:c>
    </x:row>
    <x:row r="649">
      <x:c r="A649" s="1" t="str">
        <x:v>PUB-0648</x:v>
      </x:c>
      <x:c r="B649" s="5" t="n">
        <x:v>45951</x:v>
      </x:c>
      <x:c r="C649" s="5" t="n">
        <x:v>45960</x:v>
      </x:c>
      <x:c r="D649" s="5" t="n">
        <x:v>45953</x:v>
      </x:c>
      <x:c r="E649" s="1" t="str">
        <x:v>Editorial</x:v>
      </x:c>
      <x:c r="F649" s="1" t="str">
        <x:v>School Textbook</x:v>
      </x:c>
      <x:c r="G649" s="1" t="str">
        <x:v>Medium</x:v>
      </x:c>
      <x:c r="H649" s="1" t="str">
        <x:v>AI-Assisted</x:v>
      </x:c>
      <x:c r="I649" s="1" t="str">
        <x:v>Editorial QA</x:v>
      </x:c>
      <x:c r="J649" s="1" t="n">
        <x:v>52</x:v>
      </x:c>
      <x:c r="K649" s="6" t="n">
        <x:v>12.8</x:v>
      </x:c>
      <x:c r="L649" s="6" t="n">
        <x:v>18.8</x:v>
      </x:c>
      <x:c r="M649" s="6" t="n">
        <x:v>6</x:v>
      </x:c>
      <x:c r="N649" s="6" t="n">
        <x:v>12671.38</x:v>
      </x:c>
      <x:c r="O649" s="6" t="n">
        <x:v>18654.97</x:v>
      </x:c>
      <x:c r="P649" s="6" t="n">
        <x:v>5983.59</x:v>
      </x:c>
      <x:c r="Q649" s="1" t="n">
        <x:v>0</x:v>
      </x:c>
      <x:c r="R649" s="1" t="str">
        <x:v>Yes</x:v>
      </x:c>
      <x:c r="S649" s="7" t="n">
        <x:v>90.6</x:v>
      </x:c>
      <x:c r="T649" s="1" t="str">
        <x:v>Yes</x:v>
      </x:c>
      <x:c r="U649" s="1" t="str">
        <x:v>Completed</x:v>
      </x:c>
    </x:row>
    <x:row r="650">
      <x:c r="A650" s="1" t="str">
        <x:v>PUB-0649</x:v>
      </x:c>
      <x:c r="B650" s="5" t="n">
        <x:v>46171</x:v>
      </x:c>
      <x:c r="C650" s="5" t="n">
        <x:v>46184</x:v>
      </x:c>
      <x:c r="D650" s="5" t="n">
        <x:v>46184</x:v>
      </x:c>
      <x:c r="E650" s="1" t="str">
        <x:v>Editorial</x:v>
      </x:c>
      <x:c r="F650" s="1" t="str">
        <x:v>School Textbook</x:v>
      </x:c>
      <x:c r="G650" s="1" t="str">
        <x:v>High</x:v>
      </x:c>
      <x:c r="H650" s="1" t="str">
        <x:v>Manual</x:v>
      </x:c>
      <x:c r="I650" s="1" t="str">
        <x:v>Manual / NA</x:v>
      </x:c>
      <x:c r="J650" s="1" t="n">
        <x:v>77</x:v>
      </x:c>
      <x:c r="K650" s="6" t="n">
        <x:v>51.9</x:v>
      </x:c>
      <x:c r="L650" s="6" t="n">
        <x:v>48.3</x:v>
      </x:c>
      <x:c r="M650" s="6" t="n">
        <x:v>0</x:v>
      </x:c>
      <x:c r="N650" s="6" t="n">
        <x:v>36982.21</x:v>
      </x:c>
      <x:c r="O650" s="6" t="n">
        <x:v>34382.47</x:v>
      </x:c>
      <x:c r="P650" s="6" t="n">
        <x:v>0</x:v>
      </x:c>
      <x:c r="Q650" s="1" t="n">
        <x:v>2</x:v>
      </x:c>
      <x:c r="R650" s="1" t="str">
        <x:v>No</x:v>
      </x:c>
      <x:c r="S650" s="7" t="n">
        <x:v>82.5</x:v>
      </x:c>
      <x:c r="T650" s="1" t="str">
        <x:v>Yes</x:v>
      </x:c>
      <x:c r="U650" s="1" t="str">
        <x:v>Completed</x:v>
      </x:c>
    </x:row>
    <x:row r="651">
      <x:c r="A651" s="1" t="str">
        <x:v>PUB-0650</x:v>
      </x:c>
      <x:c r="B651" s="5" t="n">
        <x:v>45737</x:v>
      </x:c>
      <x:c r="C651" s="5" t="n">
        <x:v>45750</x:v>
      </x:c>
      <x:c r="D651" s="5" t="n">
        <x:v>45743</x:v>
      </x:c>
      <x:c r="E651" s="1" t="str">
        <x:v>Digital Learning</x:v>
      </x:c>
      <x:c r="F651" s="1" t="str">
        <x:v>Workbook</x:v>
      </x:c>
      <x:c r="G651" s="1" t="str">
        <x:v>Medium</x:v>
      </x:c>
      <x:c r="H651" s="1" t="str">
        <x:v>AI-Assisted</x:v>
      </x:c>
      <x:c r="I651" s="1" t="str">
        <x:v>Editorial QA</x:v>
      </x:c>
      <x:c r="J651" s="1" t="n">
        <x:v>219</x:v>
      </x:c>
      <x:c r="K651" s="6" t="n">
        <x:v>46.4</x:v>
      </x:c>
      <x:c r="L651" s="6" t="n">
        <x:v>81.5</x:v>
      </x:c>
      <x:c r="M651" s="6" t="n">
        <x:v>35.1</x:v>
      </x:c>
      <x:c r="N651" s="6" t="n">
        <x:v>40001.95</x:v>
      </x:c>
      <x:c r="O651" s="6" t="n">
        <x:v>70239.7</x:v>
      </x:c>
      <x:c r="P651" s="6" t="n">
        <x:v>30237.75</x:v>
      </x:c>
      <x:c r="Q651" s="1" t="n">
        <x:v>0</x:v>
      </x:c>
      <x:c r="R651" s="1" t="str">
        <x:v>Yes</x:v>
      </x:c>
      <x:c r="S651" s="7" t="n">
        <x:v>92.4</x:v>
      </x:c>
      <x:c r="T651" s="1" t="str">
        <x:v>Yes</x:v>
      </x:c>
      <x:c r="U651" s="1" t="str">
        <x:v>Completed</x:v>
      </x:c>
    </x:row>
    <x:row r="652">
      <x:c r="A652" s="1" t="str">
        <x:v>PUB-0651</x:v>
      </x:c>
      <x:c r="B652" s="5" t="n">
        <x:v>46001</x:v>
      </x:c>
      <x:c r="C652" s="5" t="n">
        <x:v>46017</x:v>
      </x:c>
      <x:c r="D652" s="5" t="n">
        <x:v>46006</x:v>
      </x:c>
      <x:c r="E652" s="1" t="str">
        <x:v>Editorial</x:v>
      </x:c>
      <x:c r="F652" s="1" t="str">
        <x:v>Workbook</x:v>
      </x:c>
      <x:c r="G652" s="1" t="str">
        <x:v>Low</x:v>
      </x:c>
      <x:c r="H652" s="1" t="str">
        <x:v>AI-Assisted</x:v>
      </x:c>
      <x:c r="I652" s="1" t="str">
        <x:v>Structured v3</x:v>
      </x:c>
      <x:c r="J652" s="1" t="n">
        <x:v>160</x:v>
      </x:c>
      <x:c r="K652" s="6" t="n">
        <x:v>38.6</x:v>
      </x:c>
      <x:c r="L652" s="6" t="n">
        <x:v>73.5</x:v>
      </x:c>
      <x:c r="M652" s="6" t="n">
        <x:v>34.9</x:v>
      </x:c>
      <x:c r="N652" s="6" t="n">
        <x:v>28983.31</x:v>
      </x:c>
      <x:c r="O652" s="6" t="n">
        <x:v>55180.32</x:v>
      </x:c>
      <x:c r="P652" s="6" t="n">
        <x:v>26197.01</x:v>
      </x:c>
      <x:c r="Q652" s="1" t="n">
        <x:v>0</x:v>
      </x:c>
      <x:c r="R652" s="1" t="str">
        <x:v>Yes</x:v>
      </x:c>
      <x:c r="S652" s="7" t="n">
        <x:v>89.1</x:v>
      </x:c>
      <x:c r="T652" s="1" t="str">
        <x:v>Yes</x:v>
      </x:c>
      <x:c r="U652" s="1" t="str">
        <x:v>Completed</x:v>
      </x:c>
    </x:row>
    <x:row r="653">
      <x:c r="A653" s="1" t="str">
        <x:v>PUB-0652</x:v>
      </x:c>
      <x:c r="B653" s="5" t="n">
        <x:v>46153</x:v>
      </x:c>
      <x:c r="C653" s="5" t="n">
        <x:v>46159</x:v>
      </x:c>
      <x:c r="D653" s="5" t="n">
        <x:v>46155</x:v>
      </x:c>
      <x:c r="E653" s="1" t="str">
        <x:v>Editorial</x:v>
      </x:c>
      <x:c r="F653" s="1" t="str">
        <x:v>Workbook</x:v>
      </x:c>
      <x:c r="G653" s="1" t="str">
        <x:v>High</x:v>
      </x:c>
      <x:c r="H653" s="1" t="str">
        <x:v>Manual</x:v>
      </x:c>
      <x:c r="I653" s="1" t="str">
        <x:v>Manual / NA</x:v>
      </x:c>
      <x:c r="J653" s="1" t="n">
        <x:v>10</x:v>
      </x:c>
      <x:c r="K653" s="6" t="n">
        <x:v>7.4</x:v>
      </x:c>
      <x:c r="L653" s="6" t="n">
        <x:v>6.9</x:v>
      </x:c>
      <x:c r="M653" s="6" t="n">
        <x:v>0</x:v>
      </x:c>
      <x:c r="N653" s="6" t="n">
        <x:v>6660.8</x:v>
      </x:c>
      <x:c r="O653" s="6" t="n">
        <x:v>6242.14</x:v>
      </x:c>
      <x:c r="P653" s="6" t="n">
        <x:v>0</x:v>
      </x:c>
      <x:c r="Q653" s="1" t="n">
        <x:v>1</x:v>
      </x:c>
      <x:c r="R653" s="1" t="str">
        <x:v>No</x:v>
      </x:c>
      <x:c r="S653" s="7" t="n">
        <x:v>85.7</x:v>
      </x:c>
      <x:c r="T653" s="1" t="str">
        <x:v>Yes</x:v>
      </x:c>
      <x:c r="U653" s="1" t="str">
        <x:v>Completed</x:v>
      </x:c>
    </x:row>
    <x:row r="654">
      <x:c r="A654" s="1" t="str">
        <x:v>PUB-0653</x:v>
      </x:c>
      <x:c r="B654" s="5" t="n">
        <x:v>45757</x:v>
      </x:c>
      <x:c r="C654" s="5" t="n">
        <x:v>45773</x:v>
      </x:c>
      <x:c r="D654" s="5" t="str"/>
      <x:c r="E654" s="1" t="str">
        <x:v>Design</x:v>
      </x:c>
      <x:c r="F654" s="1" t="str">
        <x:v>E-book</x:v>
      </x:c>
      <x:c r="G654" s="1" t="str">
        <x:v>Low</x:v>
      </x:c>
      <x:c r="H654" s="1" t="str">
        <x:v>AI-Assisted</x:v>
      </x:c>
      <x:c r="I654" s="1" t="str">
        <x:v>Few-shot v2</x:v>
      </x:c>
      <x:c r="J654" s="1" t="n">
        <x:v>206</x:v>
      </x:c>
      <x:c r="K654" s="6" t="n">
        <x:v>47.2</x:v>
      </x:c>
      <x:c r="L654" s="6" t="n">
        <x:v>82.6</x:v>
      </x:c>
      <x:c r="M654" s="6" t="n">
        <x:v>35.4</x:v>
      </x:c>
      <x:c r="N654" s="6" t="n">
        <x:v>44518.05</x:v>
      </x:c>
      <x:c r="O654" s="6" t="n">
        <x:v>77936.82</x:v>
      </x:c>
      <x:c r="P654" s="6" t="n">
        <x:v>33418.77</x:v>
      </x:c>
      <x:c r="Q654" s="1" t="n">
        <x:v>0</x:v>
      </x:c>
      <x:c r="R654" s="1" t="str"/>
      <x:c r="S654" s="7" t="n">
        <x:v>88.2</x:v>
      </x:c>
      <x:c r="T654" s="1" t="str"/>
      <x:c r="U654" s="1" t="str">
        <x:v>In Review</x:v>
      </x:c>
    </x:row>
    <x:row r="655">
      <x:c r="A655" s="1" t="str">
        <x:v>PUB-0654</x:v>
      </x:c>
      <x:c r="B655" s="5" t="n">
        <x:v>45753</x:v>
      </x:c>
      <x:c r="C655" s="5" t="n">
        <x:v>45763</x:v>
      </x:c>
      <x:c r="D655" s="5" t="str"/>
      <x:c r="E655" s="1" t="str">
        <x:v>Digital Learning</x:v>
      </x:c>
      <x:c r="F655" s="1" t="str">
        <x:v>School Textbook</x:v>
      </x:c>
      <x:c r="G655" s="1" t="str">
        <x:v>High</x:v>
      </x:c>
      <x:c r="H655" s="1" t="str">
        <x:v>AI-Assisted</x:v>
      </x:c>
      <x:c r="I655" s="1" t="str">
        <x:v>Editorial QA</x:v>
      </x:c>
      <x:c r="J655" s="1" t="n">
        <x:v>44</x:v>
      </x:c>
      <x:c r="K655" s="6" t="n">
        <x:v>16.3</x:v>
      </x:c>
      <x:c r="L655" s="6" t="n">
        <x:v>23</x:v>
      </x:c>
      <x:c r="M655" s="6" t="n">
        <x:v>6.7</x:v>
      </x:c>
      <x:c r="N655" s="6" t="n">
        <x:v>14802.85</x:v>
      </x:c>
      <x:c r="O655" s="6" t="n">
        <x:v>20857.12</x:v>
      </x:c>
      <x:c r="P655" s="6" t="n">
        <x:v>6054.27</x:v>
      </x:c>
      <x:c r="Q655" s="1" t="n">
        <x:v>0</x:v>
      </x:c>
      <x:c r="R655" s="1" t="str"/>
      <x:c r="S655" s="7" t="n">
        <x:v>92.1</x:v>
      </x:c>
      <x:c r="T655" s="1" t="str"/>
      <x:c r="U655" s="1" t="str">
        <x:v>In Review</x:v>
      </x:c>
    </x:row>
    <x:row r="656">
      <x:c r="A656" s="1" t="str">
        <x:v>PUB-0655</x:v>
      </x:c>
      <x:c r="B656" s="5" t="n">
        <x:v>46007</x:v>
      </x:c>
      <x:c r="C656" s="5" t="n">
        <x:v>46020</x:v>
      </x:c>
      <x:c r="D656" s="5" t="str"/>
      <x:c r="E656" s="1" t="str">
        <x:v>Design</x:v>
      </x:c>
      <x:c r="F656" s="1" t="str">
        <x:v>School Textbook</x:v>
      </x:c>
      <x:c r="G656" s="1" t="str">
        <x:v>Low</x:v>
      </x:c>
      <x:c r="H656" s="1" t="str">
        <x:v>AI-Assisted</x:v>
      </x:c>
      <x:c r="I656" s="1" t="str">
        <x:v>Editorial QA</x:v>
      </x:c>
      <x:c r="J656" s="1" t="n">
        <x:v>118</x:v>
      </x:c>
      <x:c r="K656" s="6" t="n">
        <x:v>32.2</x:v>
      </x:c>
      <x:c r="L656" s="6" t="n">
        <x:v>50</x:v>
      </x:c>
      <x:c r="M656" s="6" t="n">
        <x:v>17.8</x:v>
      </x:c>
      <x:c r="N656" s="6" t="n">
        <x:v>24779.68</x:v>
      </x:c>
      <x:c r="O656" s="6" t="n">
        <x:v>38482.63</x:v>
      </x:c>
      <x:c r="P656" s="6" t="n">
        <x:v>13702.95</x:v>
      </x:c>
      <x:c r="Q656" s="1" t="n">
        <x:v>0</x:v>
      </x:c>
      <x:c r="R656" s="1" t="str"/>
      <x:c r="S656" s="7" t="n">
        <x:v>78.2</x:v>
      </x:c>
      <x:c r="T656" s="1" t="str"/>
      <x:c r="U656" s="1" t="str">
        <x:v>In Progress</x:v>
      </x:c>
    </x:row>
    <x:row r="657">
      <x:c r="A657" s="1" t="str">
        <x:v>PUB-0656</x:v>
      </x:c>
      <x:c r="B657" s="5" t="n">
        <x:v>45757</x:v>
      </x:c>
      <x:c r="C657" s="5" t="n">
        <x:v>45774</x:v>
      </x:c>
      <x:c r="D657" s="5" t="n">
        <x:v>45772</x:v>
      </x:c>
      <x:c r="E657" s="1" t="str">
        <x:v>Digital Learning</x:v>
      </x:c>
      <x:c r="F657" s="1" t="str">
        <x:v>School Textbook</x:v>
      </x:c>
      <x:c r="G657" s="1" t="str">
        <x:v>High</x:v>
      </x:c>
      <x:c r="H657" s="1" t="str">
        <x:v>Manual</x:v>
      </x:c>
      <x:c r="I657" s="1" t="str">
        <x:v>Manual / NA</x:v>
      </x:c>
      <x:c r="J657" s="1" t="n">
        <x:v>148</x:v>
      </x:c>
      <x:c r="K657" s="6" t="n">
        <x:v>110.8</x:v>
      </x:c>
      <x:c r="L657" s="6" t="n">
        <x:v>104.6</x:v>
      </x:c>
      <x:c r="M657" s="6" t="n">
        <x:v>0</x:v>
      </x:c>
      <x:c r="N657" s="6" t="n">
        <x:v>99659.74</x:v>
      </x:c>
      <x:c r="O657" s="6" t="n">
        <x:v>94083.55</x:v>
      </x:c>
      <x:c r="P657" s="6" t="n">
        <x:v>0</x:v>
      </x:c>
      <x:c r="Q657" s="1" t="n">
        <x:v>0</x:v>
      </x:c>
      <x:c r="R657" s="1" t="str">
        <x:v>Yes</x:v>
      </x:c>
      <x:c r="S657" s="7" t="n">
        <x:v>76.4</x:v>
      </x:c>
      <x:c r="T657" s="1" t="str">
        <x:v>Yes</x:v>
      </x:c>
      <x:c r="U657" s="1" t="str">
        <x:v>Completed</x:v>
      </x:c>
    </x:row>
    <x:row r="658">
      <x:c r="A658" s="1" t="str">
        <x:v>PUB-0657</x:v>
      </x:c>
      <x:c r="B658" s="5" t="n">
        <x:v>45944</x:v>
      </x:c>
      <x:c r="C658" s="5" t="n">
        <x:v>45956</x:v>
      </x:c>
      <x:c r="D658" s="5" t="n">
        <x:v>45947</x:v>
      </x:c>
      <x:c r="E658" s="1" t="str">
        <x:v>Production</x:v>
      </x:c>
      <x:c r="F658" s="1" t="str">
        <x:v>Workbook</x:v>
      </x:c>
      <x:c r="G658" s="1" t="str">
        <x:v>Low</x:v>
      </x:c>
      <x:c r="H658" s="1" t="str">
        <x:v>AI-Assisted</x:v>
      </x:c>
      <x:c r="I658" s="1" t="str">
        <x:v>Editorial QA</x:v>
      </x:c>
      <x:c r="J658" s="1" t="n">
        <x:v>125</x:v>
      </x:c>
      <x:c r="K658" s="6" t="n">
        <x:v>25.8</x:v>
      </x:c>
      <x:c r="L658" s="6" t="n">
        <x:v>47.6</x:v>
      </x:c>
      <x:c r="M658" s="6" t="n">
        <x:v>21.8</x:v>
      </x:c>
      <x:c r="N658" s="6" t="n">
        <x:v>28078.89</x:v>
      </x:c>
      <x:c r="O658" s="6" t="n">
        <x:v>51774.02</x:v>
      </x:c>
      <x:c r="P658" s="6" t="n">
        <x:v>23695.13</x:v>
      </x:c>
      <x:c r="Q658" s="1" t="n">
        <x:v>0</x:v>
      </x:c>
      <x:c r="R658" s="1" t="str">
        <x:v>Yes</x:v>
      </x:c>
      <x:c r="S658" s="7" t="n">
        <x:v>90.8</x:v>
      </x:c>
      <x:c r="T658" s="1" t="str">
        <x:v>Yes</x:v>
      </x:c>
      <x:c r="U658" s="1" t="str">
        <x:v>Completed</x:v>
      </x:c>
    </x:row>
    <x:row r="659">
      <x:c r="A659" s="1" t="str">
        <x:v>PUB-0658</x:v>
      </x:c>
      <x:c r="B659" s="5" t="n">
        <x:v>45951</x:v>
      </x:c>
      <x:c r="C659" s="5" t="n">
        <x:v>45959</x:v>
      </x:c>
      <x:c r="D659" s="5" t="str"/>
      <x:c r="E659" s="1" t="str">
        <x:v>Design</x:v>
      </x:c>
      <x:c r="F659" s="1" t="str">
        <x:v>E-book</x:v>
      </x:c>
      <x:c r="G659" s="1" t="str">
        <x:v>Medium</x:v>
      </x:c>
      <x:c r="H659" s="1" t="str">
        <x:v>Manual</x:v>
      </x:c>
      <x:c r="I659" s="1" t="str">
        <x:v>Manual / NA</x:v>
      </x:c>
      <x:c r="J659" s="1" t="n">
        <x:v>41</x:v>
      </x:c>
      <x:c r="K659" s="6" t="n">
        <x:v>19.5</x:v>
      </x:c>
      <x:c r="L659" s="6" t="n">
        <x:v>19.4</x:v>
      </x:c>
      <x:c r="M659" s="6" t="n">
        <x:v>0</x:v>
      </x:c>
      <x:c r="N659" s="6" t="n">
        <x:v>15733.04</x:v>
      </x:c>
      <x:c r="O659" s="6" t="n">
        <x:v>15638.29</x:v>
      </x:c>
      <x:c r="P659" s="6" t="n">
        <x:v>0</x:v>
      </x:c>
      <x:c r="Q659" s="1" t="n">
        <x:v>1</x:v>
      </x:c>
      <x:c r="R659" s="1" t="str"/>
      <x:c r="S659" s="7" t="n">
        <x:v>85.6</x:v>
      </x:c>
      <x:c r="T659" s="1" t="str"/>
      <x:c r="U659" s="1" t="str">
        <x:v>In Review</x:v>
      </x:c>
    </x:row>
    <x:row r="660">
      <x:c r="A660" s="1" t="str">
        <x:v>PUB-0659</x:v>
      </x:c>
      <x:c r="B660" s="5" t="n">
        <x:v>45701</x:v>
      </x:c>
      <x:c r="C660" s="5" t="n">
        <x:v>45706</x:v>
      </x:c>
      <x:c r="D660" s="5" t="str"/>
      <x:c r="E660" s="1" t="str">
        <x:v>Production</x:v>
      </x:c>
      <x:c r="F660" s="1" t="str">
        <x:v>Assessment</x:v>
      </x:c>
      <x:c r="G660" s="1" t="str">
        <x:v>Medium</x:v>
      </x:c>
      <x:c r="H660" s="1" t="str">
        <x:v>Manual</x:v>
      </x:c>
      <x:c r="I660" s="1" t="str">
        <x:v>Manual / NA</x:v>
      </x:c>
      <x:c r="J660" s="1" t="n">
        <x:v>35</x:v>
      </x:c>
      <x:c r="K660" s="6" t="n">
        <x:v>15.4</x:v>
      </x:c>
      <x:c r="L660" s="6" t="n">
        <x:v>16.9</x:v>
      </x:c>
      <x:c r="M660" s="6" t="n">
        <x:v>1.5</x:v>
      </x:c>
      <x:c r="N660" s="6" t="n">
        <x:v>10820.79</x:v>
      </x:c>
      <x:c r="O660" s="6" t="n">
        <x:v>11887.53</x:v>
      </x:c>
      <x:c r="P660" s="6" t="n">
        <x:v>1066.74</x:v>
      </x:c>
      <x:c r="Q660" s="1" t="n">
        <x:v>0</x:v>
      </x:c>
      <x:c r="R660" s="1" t="str"/>
      <x:c r="S660" s="7" t="n">
        <x:v>75.2</x:v>
      </x:c>
      <x:c r="T660" s="1" t="str"/>
      <x:c r="U660" s="1" t="str">
        <x:v>In Review</x:v>
      </x:c>
    </x:row>
    <x:row r="661">
      <x:c r="A661" s="1" t="str">
        <x:v>PUB-0660</x:v>
      </x:c>
      <x:c r="B661" s="5" t="n">
        <x:v>45753</x:v>
      </x:c>
      <x:c r="C661" s="5" t="n">
        <x:v>45758</x:v>
      </x:c>
      <x:c r="D661" s="5" t="n">
        <x:v>45754</x:v>
      </x:c>
      <x:c r="E661" s="1" t="str">
        <x:v>Design</x:v>
      </x:c>
      <x:c r="F661" s="1" t="str">
        <x:v>Workbook</x:v>
      </x:c>
      <x:c r="G661" s="1" t="str">
        <x:v>Low</x:v>
      </x:c>
      <x:c r="H661" s="1" t="str">
        <x:v>AI-Assisted</x:v>
      </x:c>
      <x:c r="I661" s="1" t="str">
        <x:v>Visual Brief</x:v>
      </x:c>
      <x:c r="J661" s="1" t="n">
        <x:v>35</x:v>
      </x:c>
      <x:c r="K661" s="6" t="n">
        <x:v>10.5</x:v>
      </x:c>
      <x:c r="L661" s="6" t="n">
        <x:v>15</x:v>
      </x:c>
      <x:c r="M661" s="6" t="n">
        <x:v>4.5</x:v>
      </x:c>
      <x:c r="N661" s="6" t="n">
        <x:v>11668.08</x:v>
      </x:c>
      <x:c r="O661" s="6" t="n">
        <x:v>16615.84</x:v>
      </x:c>
      <x:c r="P661" s="6" t="n">
        <x:v>4947.76</x:v>
      </x:c>
      <x:c r="Q661" s="1" t="n">
        <x:v>0</x:v>
      </x:c>
      <x:c r="R661" s="1" t="str">
        <x:v>Yes</x:v>
      </x:c>
      <x:c r="S661" s="7" t="n">
        <x:v>84.4</x:v>
      </x:c>
      <x:c r="T661" s="1" t="str">
        <x:v>Yes</x:v>
      </x:c>
      <x:c r="U661" s="1" t="str">
        <x:v>Completed</x:v>
      </x:c>
    </x:row>
    <x:row r="662">
      <x:c r="A662" s="1" t="str">
        <x:v>PUB-0661</x:v>
      </x:c>
      <x:c r="B662" s="5" t="n">
        <x:v>45982</x:v>
      </x:c>
      <x:c r="C662" s="5" t="n">
        <x:v>45990</x:v>
      </x:c>
      <x:c r="D662" s="5" t="n">
        <x:v>45983</x:v>
      </x:c>
      <x:c r="E662" s="1" t="str">
        <x:v>Design</x:v>
      </x:c>
      <x:c r="F662" s="1" t="str">
        <x:v>Assessment</x:v>
      </x:c>
      <x:c r="G662" s="1" t="str">
        <x:v>Medium</x:v>
      </x:c>
      <x:c r="H662" s="1" t="str">
        <x:v>AI-Assisted</x:v>
      </x:c>
      <x:c r="I662" s="1" t="str">
        <x:v>Editorial QA</x:v>
      </x:c>
      <x:c r="J662" s="1" t="n">
        <x:v>18</x:v>
      </x:c>
      <x:c r="K662" s="6" t="n">
        <x:v>3.4</x:v>
      </x:c>
      <x:c r="L662" s="6" t="n">
        <x:v>6.6</x:v>
      </x:c>
      <x:c r="M662" s="6" t="n">
        <x:v>3.2</x:v>
      </x:c>
      <x:c r="N662" s="6" t="n">
        <x:v>3008.94</x:v>
      </x:c>
      <x:c r="O662" s="6" t="n">
        <x:v>5868.86</x:v>
      </x:c>
      <x:c r="P662" s="6" t="n">
        <x:v>2859.92</x:v>
      </x:c>
      <x:c r="Q662" s="1" t="n">
        <x:v>0</x:v>
      </x:c>
      <x:c r="R662" s="1" t="str">
        <x:v>Yes</x:v>
      </x:c>
      <x:c r="S662" s="7" t="n">
        <x:v>88.4</x:v>
      </x:c>
      <x:c r="T662" s="1" t="str">
        <x:v>Yes</x:v>
      </x:c>
      <x:c r="U662" s="1" t="str">
        <x:v>Completed</x:v>
      </x:c>
    </x:row>
    <x:row r="663">
      <x:c r="A663" s="1" t="str">
        <x:v>PUB-0662</x:v>
      </x:c>
      <x:c r="B663" s="5" t="n">
        <x:v>46028</x:v>
      </x:c>
      <x:c r="C663" s="5" t="n">
        <x:v>46035</x:v>
      </x:c>
      <x:c r="D663" s="5" t="n">
        <x:v>46030</x:v>
      </x:c>
      <x:c r="E663" s="1" t="str">
        <x:v>Production</x:v>
      </x:c>
      <x:c r="F663" s="1" t="str">
        <x:v>E-book</x:v>
      </x:c>
      <x:c r="G663" s="1" t="str">
        <x:v>High</x:v>
      </x:c>
      <x:c r="H663" s="1" t="str">
        <x:v>AI-Assisted</x:v>
      </x:c>
      <x:c r="I663" s="1" t="str">
        <x:v>Structured v3</x:v>
      </x:c>
      <x:c r="J663" s="1" t="n">
        <x:v>13</x:v>
      </x:c>
      <x:c r="K663" s="6" t="n">
        <x:v>4.8</x:v>
      </x:c>
      <x:c r="L663" s="6" t="n">
        <x:v>8.8</x:v>
      </x:c>
      <x:c r="M663" s="6" t="n">
        <x:v>4</x:v>
      </x:c>
      <x:c r="N663" s="6" t="n">
        <x:v>4645.65</x:v>
      </x:c>
      <x:c r="O663" s="6" t="n">
        <x:v>8476.95</x:v>
      </x:c>
      <x:c r="P663" s="6" t="n">
        <x:v>3831.3</x:v>
      </x:c>
      <x:c r="Q663" s="1" t="n">
        <x:v>1</x:v>
      </x:c>
      <x:c r="R663" s="1" t="str">
        <x:v>No</x:v>
      </x:c>
      <x:c r="S663" s="7" t="n">
        <x:v>88.7</x:v>
      </x:c>
      <x:c r="T663" s="1" t="str">
        <x:v>Yes</x:v>
      </x:c>
      <x:c r="U663" s="1" t="str">
        <x:v>Completed</x:v>
      </x:c>
    </x:row>
    <x:row r="664">
      <x:c r="A664" s="1" t="str">
        <x:v>PUB-0663</x:v>
      </x:c>
      <x:c r="B664" s="5" t="n">
        <x:v>46120</x:v>
      </x:c>
      <x:c r="C664" s="5" t="n">
        <x:v>46127</x:v>
      </x:c>
      <x:c r="D664" s="5" t="n">
        <x:v>46121</x:v>
      </x:c>
      <x:c r="E664" s="1" t="str">
        <x:v>Digital Learning</x:v>
      </x:c>
      <x:c r="F664" s="1" t="str">
        <x:v>Assessment</x:v>
      </x:c>
      <x:c r="G664" s="1" t="str">
        <x:v>Low</x:v>
      </x:c>
      <x:c r="H664" s="1" t="str">
        <x:v>AI-Assisted</x:v>
      </x:c>
      <x:c r="I664" s="1" t="str">
        <x:v>Structured v3</x:v>
      </x:c>
      <x:c r="J664" s="1" t="n">
        <x:v>10</x:v>
      </x:c>
      <x:c r="K664" s="6" t="n">
        <x:v>2.6</x:v>
      </x:c>
      <x:c r="L664" s="6" t="n">
        <x:v>4.6</x:v>
      </x:c>
      <x:c r="M664" s="6" t="n">
        <x:v>2</x:v>
      </x:c>
      <x:c r="N664" s="6" t="n">
        <x:v>2669.13</x:v>
      </x:c>
      <x:c r="O664" s="6" t="n">
        <x:v>4700.3</x:v>
      </x:c>
      <x:c r="P664" s="6" t="n">
        <x:v>2031.17</x:v>
      </x:c>
      <x:c r="Q664" s="1" t="n">
        <x:v>0</x:v>
      </x:c>
      <x:c r="R664" s="1" t="str">
        <x:v>Yes</x:v>
      </x:c>
      <x:c r="S664" s="7" t="n">
        <x:v>85.7</x:v>
      </x:c>
      <x:c r="T664" s="1" t="str">
        <x:v>Yes</x:v>
      </x:c>
      <x:c r="U664" s="1" t="str">
        <x:v>Completed</x:v>
      </x:c>
    </x:row>
    <x:row r="665">
      <x:c r="A665" s="1" t="str">
        <x:v>PUB-0664</x:v>
      </x:c>
      <x:c r="B665" s="5" t="n">
        <x:v>45822</x:v>
      </x:c>
      <x:c r="C665" s="5" t="n">
        <x:v>45835</x:v>
      </x:c>
      <x:c r="D665" s="5" t="n">
        <x:v>45832</x:v>
      </x:c>
      <x:c r="E665" s="1" t="str">
        <x:v>Digital Learning</x:v>
      </x:c>
      <x:c r="F665" s="1" t="str">
        <x:v>Workbook</x:v>
      </x:c>
      <x:c r="G665" s="1" t="str">
        <x:v>Medium</x:v>
      </x:c>
      <x:c r="H665" s="1" t="str">
        <x:v>Manual</x:v>
      </x:c>
      <x:c r="I665" s="1" t="str">
        <x:v>Manual / NA</x:v>
      </x:c>
      <x:c r="J665" s="1" t="n">
        <x:v>154</x:v>
      </x:c>
      <x:c r="K665" s="6" t="n">
        <x:v>57.8</x:v>
      </x:c>
      <x:c r="L665" s="6" t="n">
        <x:v>55.8</x:v>
      </x:c>
      <x:c r="M665" s="6" t="n">
        <x:v>0</x:v>
      </x:c>
      <x:c r="N665" s="6" t="n">
        <x:v>54827.02</x:v>
      </x:c>
      <x:c r="O665" s="6" t="n">
        <x:v>52907.58</x:v>
      </x:c>
      <x:c r="P665" s="6" t="n">
        <x:v>0</x:v>
      </x:c>
      <x:c r="Q665" s="1" t="n">
        <x:v>2</x:v>
      </x:c>
      <x:c r="R665" s="1" t="str">
        <x:v>No</x:v>
      </x:c>
      <x:c r="S665" s="7" t="n">
        <x:v>86.5</x:v>
      </x:c>
      <x:c r="T665" s="1" t="str">
        <x:v>Yes</x:v>
      </x:c>
      <x:c r="U665" s="1" t="str">
        <x:v>Completed</x:v>
      </x:c>
    </x:row>
    <x:row r="666">
      <x:c r="A666" s="1" t="str">
        <x:v>PUB-0665</x:v>
      </x:c>
      <x:c r="B666" s="5" t="n">
        <x:v>45982</x:v>
      </x:c>
      <x:c r="C666" s="5" t="n">
        <x:v>45999</x:v>
      </x:c>
      <x:c r="D666" s="5" t="n">
        <x:v>45992</x:v>
      </x:c>
      <x:c r="E666" s="1" t="str">
        <x:v>Editorial</x:v>
      </x:c>
      <x:c r="F666" s="1" t="str">
        <x:v>E-book</x:v>
      </x:c>
      <x:c r="G666" s="1" t="str">
        <x:v>High</x:v>
      </x:c>
      <x:c r="H666" s="1" t="str">
        <x:v>Manual</x:v>
      </x:c>
      <x:c r="I666" s="1" t="str">
        <x:v>Manual / NA</x:v>
      </x:c>
      <x:c r="J666" s="1" t="n">
        <x:v>135</x:v>
      </x:c>
      <x:c r="K666" s="6" t="n">
        <x:v>73.7</x:v>
      </x:c>
      <x:c r="L666" s="6" t="n">
        <x:v>68.6</x:v>
      </x:c>
      <x:c r="M666" s="6" t="n">
        <x:v>0</x:v>
      </x:c>
      <x:c r="N666" s="6" t="n">
        <x:v>62880.35</x:v>
      </x:c>
      <x:c r="O666" s="6" t="n">
        <x:v>58534.05</x:v>
      </x:c>
      <x:c r="P666" s="6" t="n">
        <x:v>0</x:v>
      </x:c>
      <x:c r="Q666" s="1" t="n">
        <x:v>0</x:v>
      </x:c>
      <x:c r="R666" s="1" t="str">
        <x:v>Yes</x:v>
      </x:c>
      <x:c r="S666" s="7" t="n">
        <x:v>91</x:v>
      </x:c>
      <x:c r="T666" s="1" t="str">
        <x:v>Yes</x:v>
      </x:c>
      <x:c r="U666" s="1" t="str">
        <x:v>Completed</x:v>
      </x:c>
    </x:row>
    <x:row r="667">
      <x:c r="A667" s="1" t="str">
        <x:v>PUB-0666</x:v>
      </x:c>
      <x:c r="B667" s="5" t="n">
        <x:v>45757</x:v>
      </x:c>
      <x:c r="C667" s="5" t="n">
        <x:v>45761</x:v>
      </x:c>
      <x:c r="D667" s="5" t="n">
        <x:v>45758</x:v>
      </x:c>
      <x:c r="E667" s="1" t="str">
        <x:v>Editorial</x:v>
      </x:c>
      <x:c r="F667" s="1" t="str">
        <x:v>Illustration</x:v>
      </x:c>
      <x:c r="G667" s="1" t="str">
        <x:v>Medium</x:v>
      </x:c>
      <x:c r="H667" s="1" t="str">
        <x:v>AI-Assisted</x:v>
      </x:c>
      <x:c r="I667" s="1" t="str">
        <x:v>Editorial QA</x:v>
      </x:c>
      <x:c r="J667" s="1" t="n">
        <x:v>25</x:v>
      </x:c>
      <x:c r="K667" s="6" t="n">
        <x:v>5.4</x:v>
      </x:c>
      <x:c r="L667" s="6" t="n">
        <x:v>10.2</x:v>
      </x:c>
      <x:c r="M667" s="6" t="n">
        <x:v>4.8</x:v>
      </x:c>
      <x:c r="N667" s="6" t="n">
        <x:v>4026.13</x:v>
      </x:c>
      <x:c r="O667" s="6" t="n">
        <x:v>7596.53</x:v>
      </x:c>
      <x:c r="P667" s="6" t="n">
        <x:v>3570.4</x:v>
      </x:c>
      <x:c r="Q667" s="1" t="n">
        <x:v>0</x:v>
      </x:c>
      <x:c r="R667" s="1" t="str">
        <x:v>Yes</x:v>
      </x:c>
      <x:c r="S667" s="7" t="n">
        <x:v>89.1</x:v>
      </x:c>
      <x:c r="T667" s="1" t="str">
        <x:v>Yes</x:v>
      </x:c>
      <x:c r="U667" s="1" t="str">
        <x:v>Completed</x:v>
      </x:c>
    </x:row>
    <x:row r="668">
      <x:c r="A668" s="1" t="str">
        <x:v>PUB-0667</x:v>
      </x:c>
      <x:c r="B668" s="5" t="n">
        <x:v>45674</x:v>
      </x:c>
      <x:c r="C668" s="5" t="n">
        <x:v>45685</x:v>
      </x:c>
      <x:c r="D668" s="5" t="n">
        <x:v>45677</x:v>
      </x:c>
      <x:c r="E668" s="1" t="str">
        <x:v>Editorial</x:v>
      </x:c>
      <x:c r="F668" s="1" t="str">
        <x:v>Workbook</x:v>
      </x:c>
      <x:c r="G668" s="1" t="str">
        <x:v>Medium</x:v>
      </x:c>
      <x:c r="H668" s="1" t="str">
        <x:v>Manual</x:v>
      </x:c>
      <x:c r="I668" s="1" t="str">
        <x:v>Manual / NA</x:v>
      </x:c>
      <x:c r="J668" s="1" t="n">
        <x:v>39</x:v>
      </x:c>
      <x:c r="K668" s="6" t="n">
        <x:v>19</x:v>
      </x:c>
      <x:c r="L668" s="6" t="n">
        <x:v>19.6</x:v>
      </x:c>
      <x:c r="M668" s="6" t="n">
        <x:v>0.6</x:v>
      </x:c>
      <x:c r="N668" s="6" t="n">
        <x:v>16248.67</x:v>
      </x:c>
      <x:c r="O668" s="6" t="n">
        <x:v>16768.34</x:v>
      </x:c>
      <x:c r="P668" s="6" t="n">
        <x:v>519.67</x:v>
      </x:c>
      <x:c r="Q668" s="1" t="n">
        <x:v>0</x:v>
      </x:c>
      <x:c r="R668" s="1" t="str">
        <x:v>Yes</x:v>
      </x:c>
      <x:c r="S668" s="7" t="n">
        <x:v>78.5</x:v>
      </x:c>
      <x:c r="T668" s="1" t="str">
        <x:v>Yes</x:v>
      </x:c>
      <x:c r="U668" s="1" t="str">
        <x:v>Completed</x:v>
      </x:c>
    </x:row>
    <x:row r="669">
      <x:c r="A669" s="1" t="str">
        <x:v>PUB-0668</x:v>
      </x:c>
      <x:c r="B669" s="5" t="n">
        <x:v>45838</x:v>
      </x:c>
      <x:c r="C669" s="5" t="n">
        <x:v>45853</x:v>
      </x:c>
      <x:c r="D669" s="5" t="str"/>
      <x:c r="E669" s="1" t="str">
        <x:v>Design</x:v>
      </x:c>
      <x:c r="F669" s="1" t="str">
        <x:v>Workbook</x:v>
      </x:c>
      <x:c r="G669" s="1" t="str">
        <x:v>Medium</x:v>
      </x:c>
      <x:c r="H669" s="1" t="str">
        <x:v>AI-Assisted</x:v>
      </x:c>
      <x:c r="I669" s="1" t="str">
        <x:v>Structured v3</x:v>
      </x:c>
      <x:c r="J669" s="1" t="n">
        <x:v>119</x:v>
      </x:c>
      <x:c r="K669" s="6" t="n">
        <x:v>41.9</x:v>
      </x:c>
      <x:c r="L669" s="6" t="n">
        <x:v>65</x:v>
      </x:c>
      <x:c r="M669" s="6" t="n">
        <x:v>23.1</x:v>
      </x:c>
      <x:c r="N669" s="6" t="n">
        <x:v>36400.49</x:v>
      </x:c>
      <x:c r="O669" s="6" t="n">
        <x:v>56437.7</x:v>
      </x:c>
      <x:c r="P669" s="6" t="n">
        <x:v>20037.21</x:v>
      </x:c>
      <x:c r="Q669" s="1" t="n">
        <x:v>0</x:v>
      </x:c>
      <x:c r="R669" s="1" t="str"/>
      <x:c r="S669" s="7" t="n">
        <x:v>87.2</x:v>
      </x:c>
      <x:c r="T669" s="1" t="str"/>
      <x:c r="U669" s="1" t="str">
        <x:v>In Progress</x:v>
      </x:c>
    </x:row>
    <x:row r="670">
      <x:c r="A670" s="1" t="str">
        <x:v>PUB-0669</x:v>
      </x:c>
      <x:c r="B670" s="5" t="n">
        <x:v>45764</x:v>
      </x:c>
      <x:c r="C670" s="5" t="n">
        <x:v>45770</x:v>
      </x:c>
      <x:c r="D670" s="5" t="n">
        <x:v>45767</x:v>
      </x:c>
      <x:c r="E670" s="1" t="str">
        <x:v>Editorial</x:v>
      </x:c>
      <x:c r="F670" s="1" t="str">
        <x:v>School Textbook</x:v>
      </x:c>
      <x:c r="G670" s="1" t="str">
        <x:v>Medium</x:v>
      </x:c>
      <x:c r="H670" s="1" t="str">
        <x:v>Manual</x:v>
      </x:c>
      <x:c r="I670" s="1" t="str">
        <x:v>Manual / NA</x:v>
      </x:c>
      <x:c r="J670" s="1" t="n">
        <x:v>34</x:v>
      </x:c>
      <x:c r="K670" s="6" t="n">
        <x:v>19</x:v>
      </x:c>
      <x:c r="L670" s="6" t="n">
        <x:v>17.9</x:v>
      </x:c>
      <x:c r="M670" s="6" t="n">
        <x:v>0</x:v>
      </x:c>
      <x:c r="N670" s="6" t="n">
        <x:v>13297.17</x:v>
      </x:c>
      <x:c r="O670" s="6" t="n">
        <x:v>12501.38</x:v>
      </x:c>
      <x:c r="P670" s="6" t="n">
        <x:v>0</x:v>
      </x:c>
      <x:c r="Q670" s="1" t="n">
        <x:v>0</x:v>
      </x:c>
      <x:c r="R670" s="1" t="str">
        <x:v>Yes</x:v>
      </x:c>
      <x:c r="S670" s="7" t="n">
        <x:v>83.8</x:v>
      </x:c>
      <x:c r="T670" s="1" t="str">
        <x:v>Yes</x:v>
      </x:c>
      <x:c r="U670" s="1" t="str">
        <x:v>Completed</x:v>
      </x:c>
    </x:row>
    <x:row r="671">
      <x:c r="A671" s="1" t="str">
        <x:v>PUB-0670</x:v>
      </x:c>
      <x:c r="B671" s="5" t="n">
        <x:v>46123</x:v>
      </x:c>
      <x:c r="C671" s="5" t="n">
        <x:v>46134</x:v>
      </x:c>
      <x:c r="D671" s="5" t="n">
        <x:v>46126</x:v>
      </x:c>
      <x:c r="E671" s="1" t="str">
        <x:v>Design</x:v>
      </x:c>
      <x:c r="F671" s="1" t="str">
        <x:v>School Textbook</x:v>
      </x:c>
      <x:c r="G671" s="1" t="str">
        <x:v>Medium</x:v>
      </x:c>
      <x:c r="H671" s="1" t="str">
        <x:v>Manual</x:v>
      </x:c>
      <x:c r="I671" s="1" t="str">
        <x:v>Manual / NA</x:v>
      </x:c>
      <x:c r="J671" s="1" t="n">
        <x:v>39</x:v>
      </x:c>
      <x:c r="K671" s="6" t="n">
        <x:v>20.3</x:v>
      </x:c>
      <x:c r="L671" s="6" t="n">
        <x:v>20.9</x:v>
      </x:c>
      <x:c r="M671" s="6" t="n">
        <x:v>0.6</x:v>
      </x:c>
      <x:c r="N671" s="6" t="n">
        <x:v>22411.13</x:v>
      </x:c>
      <x:c r="O671" s="6" t="n">
        <x:v>23018.76</x:v>
      </x:c>
      <x:c r="P671" s="6" t="n">
        <x:v>607.63</x:v>
      </x:c>
      <x:c r="Q671" s="1" t="n">
        <x:v>0</x:v>
      </x:c>
      <x:c r="R671" s="1" t="str">
        <x:v>Yes</x:v>
      </x:c>
      <x:c r="S671" s="7" t="n">
        <x:v>84.3</x:v>
      </x:c>
      <x:c r="T671" s="1" t="str">
        <x:v>Yes</x:v>
      </x:c>
      <x:c r="U671" s="1" t="str">
        <x:v>Completed</x:v>
      </x:c>
    </x:row>
    <x:row r="672">
      <x:c r="A672" s="1" t="str">
        <x:v>PUB-0671</x:v>
      </x:c>
      <x:c r="B672" s="5" t="n">
        <x:v>46041</x:v>
      </x:c>
      <x:c r="C672" s="5" t="n">
        <x:v>46048</x:v>
      </x:c>
      <x:c r="D672" s="5" t="n">
        <x:v>46043</x:v>
      </x:c>
      <x:c r="E672" s="1" t="str">
        <x:v>Production</x:v>
      </x:c>
      <x:c r="F672" s="1" t="str">
        <x:v>Assessment</x:v>
      </x:c>
      <x:c r="G672" s="1" t="str">
        <x:v>High</x:v>
      </x:c>
      <x:c r="H672" s="1" t="str">
        <x:v>AI-Assisted</x:v>
      </x:c>
      <x:c r="I672" s="1" t="str">
        <x:v>Editorial QA</x:v>
      </x:c>
      <x:c r="J672" s="1" t="n">
        <x:v>43</x:v>
      </x:c>
      <x:c r="K672" s="6" t="n">
        <x:v>17.6</x:v>
      </x:c>
      <x:c r="L672" s="6" t="n">
        <x:v>30.4</x:v>
      </x:c>
      <x:c r="M672" s="6" t="n">
        <x:v>12.8</x:v>
      </x:c>
      <x:c r="N672" s="6" t="n">
        <x:v>13565.68</x:v>
      </x:c>
      <x:c r="O672" s="6" t="n">
        <x:v>23402.84</x:v>
      </x:c>
      <x:c r="P672" s="6" t="n">
        <x:v>9837.16</x:v>
      </x:c>
      <x:c r="Q672" s="1" t="n">
        <x:v>0</x:v>
      </x:c>
      <x:c r="R672" s="1" t="str">
        <x:v>Yes</x:v>
      </x:c>
      <x:c r="S672" s="7" t="n">
        <x:v>88.2</x:v>
      </x:c>
      <x:c r="T672" s="1" t="str">
        <x:v>Yes</x:v>
      </x:c>
      <x:c r="U672" s="1" t="str">
        <x:v>Completed</x:v>
      </x:c>
    </x:row>
    <x:row r="673">
      <x:c r="A673" s="1" t="str">
        <x:v>PUB-0672</x:v>
      </x:c>
      <x:c r="B673" s="5" t="n">
        <x:v>46189</x:v>
      </x:c>
      <x:c r="C673" s="5" t="n">
        <x:v>46201</x:v>
      </x:c>
      <x:c r="D673" s="5" t="n">
        <x:v>46191</x:v>
      </x:c>
      <x:c r="E673" s="1" t="str">
        <x:v>Digital Learning</x:v>
      </x:c>
      <x:c r="F673" s="1" t="str">
        <x:v>Assessment</x:v>
      </x:c>
      <x:c r="G673" s="1" t="str">
        <x:v>Low</x:v>
      </x:c>
      <x:c r="H673" s="1" t="str">
        <x:v>AI-Assisted</x:v>
      </x:c>
      <x:c r="I673" s="1" t="str">
        <x:v>Visual Brief</x:v>
      </x:c>
      <x:c r="J673" s="1" t="n">
        <x:v>59</x:v>
      </x:c>
      <x:c r="K673" s="6" t="n">
        <x:v>14.6</x:v>
      </x:c>
      <x:c r="L673" s="6" t="n">
        <x:v>27.8</x:v>
      </x:c>
      <x:c r="M673" s="6" t="n">
        <x:v>13.2</x:v>
      </x:c>
      <x:c r="N673" s="6" t="n">
        <x:v>14194.37</x:v>
      </x:c>
      <x:c r="O673" s="6" t="n">
        <x:v>27006.48</x:v>
      </x:c>
      <x:c r="P673" s="6" t="n">
        <x:v>12812.11</x:v>
      </x:c>
      <x:c r="Q673" s="1" t="n">
        <x:v>0</x:v>
      </x:c>
      <x:c r="R673" s="1" t="str">
        <x:v>Yes</x:v>
      </x:c>
      <x:c r="S673" s="7" t="n">
        <x:v>89.5</x:v>
      </x:c>
      <x:c r="T673" s="1" t="str">
        <x:v>Yes</x:v>
      </x:c>
      <x:c r="U673" s="1" t="str">
        <x:v>Completed</x:v>
      </x:c>
    </x:row>
    <x:row r="674">
      <x:c r="A674" s="1" t="str">
        <x:v>PUB-0673</x:v>
      </x:c>
      <x:c r="B674" s="5" t="n">
        <x:v>46057</x:v>
      </x:c>
      <x:c r="C674" s="5" t="n">
        <x:v>46067</x:v>
      </x:c>
      <x:c r="D674" s="5" t="n">
        <x:v>46066</x:v>
      </x:c>
      <x:c r="E674" s="1" t="str">
        <x:v>Digital Learning</x:v>
      </x:c>
      <x:c r="F674" s="1" t="str">
        <x:v>School Textbook</x:v>
      </x:c>
      <x:c r="G674" s="1" t="str">
        <x:v>Low</x:v>
      </x:c>
      <x:c r="H674" s="1" t="str">
        <x:v>Manual</x:v>
      </x:c>
      <x:c r="I674" s="1" t="str">
        <x:v>Manual / NA</x:v>
      </x:c>
      <x:c r="J674" s="1" t="n">
        <x:v>140</x:v>
      </x:c>
      <x:c r="K674" s="6" t="n">
        <x:v>48.2</x:v>
      </x:c>
      <x:c r="L674" s="6" t="n">
        <x:v>47.2</x:v>
      </x:c>
      <x:c r="M674" s="6" t="n">
        <x:v>0</x:v>
      </x:c>
      <x:c r="N674" s="6" t="n">
        <x:v>34374.56</x:v>
      </x:c>
      <x:c r="O674" s="6" t="n">
        <x:v>33633.84</x:v>
      </x:c>
      <x:c r="P674" s="6" t="n">
        <x:v>0</x:v>
      </x:c>
      <x:c r="Q674" s="1" t="n">
        <x:v>1</x:v>
      </x:c>
      <x:c r="R674" s="1" t="str">
        <x:v>No</x:v>
      </x:c>
      <x:c r="S674" s="7" t="n">
        <x:v>76.1</x:v>
      </x:c>
      <x:c r="T674" s="1" t="str">
        <x:v>Yes</x:v>
      </x:c>
      <x:c r="U674" s="1" t="str">
        <x:v>Completed</x:v>
      </x:c>
    </x:row>
    <x:row r="675">
      <x:c r="A675" s="1" t="str">
        <x:v>PUB-0674</x:v>
      </x:c>
      <x:c r="B675" s="5" t="n">
        <x:v>45988</x:v>
      </x:c>
      <x:c r="C675" s="5" t="n">
        <x:v>45999</x:v>
      </x:c>
      <x:c r="D675" s="5" t="n">
        <x:v>45993</x:v>
      </x:c>
      <x:c r="E675" s="1" t="str">
        <x:v>Editorial</x:v>
      </x:c>
      <x:c r="F675" s="1" t="str">
        <x:v>School Textbook</x:v>
      </x:c>
      <x:c r="G675" s="1" t="str">
        <x:v>Low</x:v>
      </x:c>
      <x:c r="H675" s="1" t="str">
        <x:v>AI-Assisted</x:v>
      </x:c>
      <x:c r="I675" s="1" t="str">
        <x:v>Editorial QA</x:v>
      </x:c>
      <x:c r="J675" s="1" t="n">
        <x:v>159</x:v>
      </x:c>
      <x:c r="K675" s="6" t="n">
        <x:v>39.5</x:v>
      </x:c>
      <x:c r="L675" s="6" t="n">
        <x:v>64.7</x:v>
      </x:c>
      <x:c r="M675" s="6" t="n">
        <x:v>25.2</x:v>
      </x:c>
      <x:c r="N675" s="6" t="n">
        <x:v>44879.9</x:v>
      </x:c>
      <x:c r="O675" s="6" t="n">
        <x:v>73473.65</x:v>
      </x:c>
      <x:c r="P675" s="6" t="n">
        <x:v>28593.75</x:v>
      </x:c>
      <x:c r="Q675" s="1" t="n">
        <x:v>0</x:v>
      </x:c>
      <x:c r="R675" s="1" t="str">
        <x:v>Yes</x:v>
      </x:c>
      <x:c r="S675" s="7" t="n">
        <x:v>94.9</x:v>
      </x:c>
      <x:c r="T675" s="1" t="str">
        <x:v>Yes</x:v>
      </x:c>
      <x:c r="U675" s="1" t="str">
        <x:v>Completed</x:v>
      </x:c>
    </x:row>
    <x:row r="676">
      <x:c r="A676" s="1" t="str">
        <x:v>PUB-0675</x:v>
      </x:c>
      <x:c r="B676" s="5" t="n">
        <x:v>46122</x:v>
      </x:c>
      <x:c r="C676" s="5" t="n">
        <x:v>46128</x:v>
      </x:c>
      <x:c r="D676" s="5" t="str"/>
      <x:c r="E676" s="1" t="str">
        <x:v>Production</x:v>
      </x:c>
      <x:c r="F676" s="1" t="str">
        <x:v>Illustration</x:v>
      </x:c>
      <x:c r="G676" s="1" t="str">
        <x:v>Medium</x:v>
      </x:c>
      <x:c r="H676" s="1" t="str">
        <x:v>AI-Assisted</x:v>
      </x:c>
      <x:c r="I676" s="1" t="str">
        <x:v>Editorial QA</x:v>
      </x:c>
      <x:c r="J676" s="1" t="n">
        <x:v>32</x:v>
      </x:c>
      <x:c r="K676" s="6" t="n">
        <x:v>8.2</x:v>
      </x:c>
      <x:c r="L676" s="6" t="n">
        <x:v>15.3</x:v>
      </x:c>
      <x:c r="M676" s="6" t="n">
        <x:v>7.1</x:v>
      </x:c>
      <x:c r="N676" s="6" t="n">
        <x:v>8528.12</x:v>
      </x:c>
      <x:c r="O676" s="6" t="n">
        <x:v>15901.13</x:v>
      </x:c>
      <x:c r="P676" s="6" t="n">
        <x:v>7373.01</x:v>
      </x:c>
      <x:c r="Q676" s="1" t="n">
        <x:v>0</x:v>
      </x:c>
      <x:c r="R676" s="1" t="str"/>
      <x:c r="S676" s="7" t="n">
        <x:v>90</x:v>
      </x:c>
      <x:c r="T676" s="1" t="str"/>
      <x:c r="U676" s="1" t="str">
        <x:v>In Review</x:v>
      </x:c>
    </x:row>
    <x:row r="677">
      <x:c r="A677" s="1" t="str">
        <x:v>PUB-0676</x:v>
      </x:c>
      <x:c r="B677" s="5" t="n">
        <x:v>45681</x:v>
      </x:c>
      <x:c r="C677" s="5" t="n">
        <x:v>45687</x:v>
      </x:c>
      <x:c r="D677" s="5" t="n">
        <x:v>45682</x:v>
      </x:c>
      <x:c r="E677" s="1" t="str">
        <x:v>Production</x:v>
      </x:c>
      <x:c r="F677" s="1" t="str">
        <x:v>Assessment</x:v>
      </x:c>
      <x:c r="G677" s="1" t="str">
        <x:v>Low</x:v>
      </x:c>
      <x:c r="H677" s="1" t="str">
        <x:v>AI-Assisted</x:v>
      </x:c>
      <x:c r="I677" s="1" t="str">
        <x:v>Few-shot v2</x:v>
      </x:c>
      <x:c r="J677" s="1" t="n">
        <x:v>19</x:v>
      </x:c>
      <x:c r="K677" s="6" t="n">
        <x:v>4.6</x:v>
      </x:c>
      <x:c r="L677" s="6" t="n">
        <x:v>6.6</x:v>
      </x:c>
      <x:c r="M677" s="6" t="n">
        <x:v>2</x:v>
      </x:c>
      <x:c r="N677" s="6" t="n">
        <x:v>3203.39</x:v>
      </x:c>
      <x:c r="O677" s="6" t="n">
        <x:v>4580.13</x:v>
      </x:c>
      <x:c r="P677" s="6" t="n">
        <x:v>1376.74</x:v>
      </x:c>
      <x:c r="Q677" s="1" t="n">
        <x:v>0</x:v>
      </x:c>
      <x:c r="R677" s="1" t="str">
        <x:v>Yes</x:v>
      </x:c>
      <x:c r="S677" s="7" t="n">
        <x:v>81</x:v>
      </x:c>
      <x:c r="T677" s="1" t="str">
        <x:v>Yes</x:v>
      </x:c>
      <x:c r="U677" s="1" t="str">
        <x:v>Completed</x:v>
      </x:c>
    </x:row>
    <x:row r="678">
      <x:c r="A678" s="1" t="str">
        <x:v>PUB-0677</x:v>
      </x:c>
      <x:c r="B678" s="5" t="n">
        <x:v>46160</x:v>
      </x:c>
      <x:c r="C678" s="5" t="n">
        <x:v>46167</x:v>
      </x:c>
      <x:c r="D678" s="5" t="n">
        <x:v>46162</x:v>
      </x:c>
      <x:c r="E678" s="1" t="str">
        <x:v>Digital Learning</x:v>
      </x:c>
      <x:c r="F678" s="1" t="str">
        <x:v>Workbook</x:v>
      </x:c>
      <x:c r="G678" s="1" t="str">
        <x:v>Medium</x:v>
      </x:c>
      <x:c r="H678" s="1" t="str">
        <x:v>AI-Assisted</x:v>
      </x:c>
      <x:c r="I678" s="1" t="str">
        <x:v>Editorial QA</x:v>
      </x:c>
      <x:c r="J678" s="1" t="n">
        <x:v>61</x:v>
      </x:c>
      <x:c r="K678" s="6" t="n">
        <x:v>15</x:v>
      </x:c>
      <x:c r="L678" s="6" t="n">
        <x:v>27</x:v>
      </x:c>
      <x:c r="M678" s="6" t="n">
        <x:v>12</x:v>
      </x:c>
      <x:c r="N678" s="6" t="n">
        <x:v>16562.27</x:v>
      </x:c>
      <x:c r="O678" s="6" t="n">
        <x:v>29807.57</x:v>
      </x:c>
      <x:c r="P678" s="6" t="n">
        <x:v>13245.3</x:v>
      </x:c>
      <x:c r="Q678" s="1" t="n">
        <x:v>0</x:v>
      </x:c>
      <x:c r="R678" s="1" t="str">
        <x:v>Yes</x:v>
      </x:c>
      <x:c r="S678" s="7" t="n">
        <x:v>89.3</x:v>
      </x:c>
      <x:c r="T678" s="1" t="str">
        <x:v>Yes</x:v>
      </x:c>
      <x:c r="U678" s="1" t="str">
        <x:v>Completed</x:v>
      </x:c>
    </x:row>
    <x:row r="679">
      <x:c r="A679" s="1" t="str">
        <x:v>PUB-0678</x:v>
      </x:c>
      <x:c r="B679" s="5" t="n">
        <x:v>45690</x:v>
      </x:c>
      <x:c r="C679" s="5" t="n">
        <x:v>45700</x:v>
      </x:c>
      <x:c r="D679" s="5" t="n">
        <x:v>45696</x:v>
      </x:c>
      <x:c r="E679" s="1" t="str">
        <x:v>Editorial</x:v>
      </x:c>
      <x:c r="F679" s="1" t="str">
        <x:v>Workbook</x:v>
      </x:c>
      <x:c r="G679" s="1" t="str">
        <x:v>Medium</x:v>
      </x:c>
      <x:c r="H679" s="1" t="str">
        <x:v>AI-Assisted</x:v>
      </x:c>
      <x:c r="I679" s="1" t="str">
        <x:v>Visual Brief</x:v>
      </x:c>
      <x:c r="J679" s="1" t="n">
        <x:v>161</x:v>
      </x:c>
      <x:c r="K679" s="6" t="n">
        <x:v>41.8</x:v>
      </x:c>
      <x:c r="L679" s="6" t="n">
        <x:v>63.6</x:v>
      </x:c>
      <x:c r="M679" s="6" t="n">
        <x:v>21.8</x:v>
      </x:c>
      <x:c r="N679" s="6" t="n">
        <x:v>46535.59</x:v>
      </x:c>
      <x:c r="O679" s="6" t="n">
        <x:v>70772.07</x:v>
      </x:c>
      <x:c r="P679" s="6" t="n">
        <x:v>24236.48</x:v>
      </x:c>
      <x:c r="Q679" s="1" t="n">
        <x:v>0</x:v>
      </x:c>
      <x:c r="R679" s="1" t="str">
        <x:v>Yes</x:v>
      </x:c>
      <x:c r="S679" s="7" t="n">
        <x:v>89.7</x:v>
      </x:c>
      <x:c r="T679" s="1" t="str">
        <x:v>Yes</x:v>
      </x:c>
      <x:c r="U679" s="1" t="str">
        <x:v>Completed</x:v>
      </x:c>
    </x:row>
    <x:row r="680">
      <x:c r="A680" s="1" t="str">
        <x:v>PUB-0679</x:v>
      </x:c>
      <x:c r="B680" s="5" t="n">
        <x:v>46182</x:v>
      </x:c>
      <x:c r="C680" s="5" t="n">
        <x:v>46188</x:v>
      </x:c>
      <x:c r="D680" s="5" t="n">
        <x:v>46183</x:v>
      </x:c>
      <x:c r="E680" s="1" t="str">
        <x:v>Production</x:v>
      </x:c>
      <x:c r="F680" s="1" t="str">
        <x:v>School Textbook</x:v>
      </x:c>
      <x:c r="G680" s="1" t="str">
        <x:v>Medium</x:v>
      </x:c>
      <x:c r="H680" s="1" t="str">
        <x:v>AI-Assisted</x:v>
      </x:c>
      <x:c r="I680" s="1" t="str">
        <x:v>Visual Brief</x:v>
      </x:c>
      <x:c r="J680" s="1" t="n">
        <x:v>15</x:v>
      </x:c>
      <x:c r="K680" s="6" t="n">
        <x:v>4</x:v>
      </x:c>
      <x:c r="L680" s="6" t="n">
        <x:v>6.1</x:v>
      </x:c>
      <x:c r="M680" s="6" t="n">
        <x:v>2.1</x:v>
      </x:c>
      <x:c r="N680" s="6" t="n">
        <x:v>4479.7</x:v>
      </x:c>
      <x:c r="O680" s="6" t="n">
        <x:v>6859.77</x:v>
      </x:c>
      <x:c r="P680" s="6" t="n">
        <x:v>2380.07</x:v>
      </x:c>
      <x:c r="Q680" s="1" t="n">
        <x:v>0</x:v>
      </x:c>
      <x:c r="R680" s="1" t="str">
        <x:v>Yes</x:v>
      </x:c>
      <x:c r="S680" s="7" t="n">
        <x:v>75.5</x:v>
      </x:c>
      <x:c r="T680" s="1" t="str">
        <x:v>Yes</x:v>
      </x:c>
      <x:c r="U680" s="1" t="str">
        <x:v>Completed</x:v>
      </x:c>
    </x:row>
    <x:row r="681">
      <x:c r="A681" s="1" t="str">
        <x:v>PUB-0680</x:v>
      </x:c>
      <x:c r="B681" s="5" t="n">
        <x:v>45959</x:v>
      </x:c>
      <x:c r="C681" s="5" t="n">
        <x:v>45963</x:v>
      </x:c>
      <x:c r="D681" s="5" t="n">
        <x:v>45960</x:v>
      </x:c>
      <x:c r="E681" s="1" t="str">
        <x:v>Design</x:v>
      </x:c>
      <x:c r="F681" s="1" t="str">
        <x:v>Illustration</x:v>
      </x:c>
      <x:c r="G681" s="1" t="str">
        <x:v>Low</x:v>
      </x:c>
      <x:c r="H681" s="1" t="str">
        <x:v>AI-Assisted</x:v>
      </x:c>
      <x:c r="I681" s="1" t="str">
        <x:v>Visual Brief</x:v>
      </x:c>
      <x:c r="J681" s="1" t="n">
        <x:v>28</x:v>
      </x:c>
      <x:c r="K681" s="6" t="n">
        <x:v>6.3</x:v>
      </x:c>
      <x:c r="L681" s="6" t="n">
        <x:v>9.3</x:v>
      </x:c>
      <x:c r="M681" s="6" t="n">
        <x:v>3</x:v>
      </x:c>
      <x:c r="N681" s="6" t="n">
        <x:v>6354.8</x:v>
      </x:c>
      <x:c r="O681" s="6" t="n">
        <x:v>9345.7</x:v>
      </x:c>
      <x:c r="P681" s="6" t="n">
        <x:v>2990.9</x:v>
      </x:c>
      <x:c r="Q681" s="1" t="n">
        <x:v>0</x:v>
      </x:c>
      <x:c r="R681" s="1" t="str">
        <x:v>Yes</x:v>
      </x:c>
      <x:c r="S681" s="7" t="n">
        <x:v>90.6</x:v>
      </x:c>
      <x:c r="T681" s="1" t="str">
        <x:v>Yes</x:v>
      </x:c>
      <x:c r="U681" s="1" t="str">
        <x:v>Completed</x:v>
      </x:c>
    </x:row>
    <x:row r="682">
      <x:c r="A682" s="1" t="str">
        <x:v>PUB-0681</x:v>
      </x:c>
      <x:c r="B682" s="5" t="n">
        <x:v>45977</x:v>
      </x:c>
      <x:c r="C682" s="5" t="n">
        <x:v>45992</x:v>
      </x:c>
      <x:c r="D682" s="5" t="n">
        <x:v>45987</x:v>
      </x:c>
      <x:c r="E682" s="1" t="str">
        <x:v>Editorial</x:v>
      </x:c>
      <x:c r="F682" s="1" t="str">
        <x:v>School Textbook</x:v>
      </x:c>
      <x:c r="G682" s="1" t="str">
        <x:v>High</x:v>
      </x:c>
      <x:c r="H682" s="1" t="str">
        <x:v>Manual</x:v>
      </x:c>
      <x:c r="I682" s="1" t="str">
        <x:v>Manual / NA</x:v>
      </x:c>
      <x:c r="J682" s="1" t="n">
        <x:v>118</x:v>
      </x:c>
      <x:c r="K682" s="6" t="n">
        <x:v>72.7</x:v>
      </x:c>
      <x:c r="L682" s="6" t="n">
        <x:v>70.6</x:v>
      </x:c>
      <x:c r="M682" s="6" t="n">
        <x:v>0</x:v>
      </x:c>
      <x:c r="N682" s="6" t="n">
        <x:v>76912.68</x:v>
      </x:c>
      <x:c r="O682" s="6" t="n">
        <x:v>74684.53</x:v>
      </x:c>
      <x:c r="P682" s="6" t="n">
        <x:v>0</x:v>
      </x:c>
      <x:c r="Q682" s="1" t="n">
        <x:v>0</x:v>
      </x:c>
      <x:c r="R682" s="1" t="str">
        <x:v>Yes</x:v>
      </x:c>
      <x:c r="S682" s="7" t="n">
        <x:v>80.4</x:v>
      </x:c>
      <x:c r="T682" s="1" t="str">
        <x:v>Yes</x:v>
      </x:c>
      <x:c r="U682" s="1" t="str">
        <x:v>Completed</x:v>
      </x:c>
    </x:row>
    <x:row r="683">
      <x:c r="A683" s="1" t="str">
        <x:v>PUB-0682</x:v>
      </x:c>
      <x:c r="B683" s="5" t="n">
        <x:v>45723</x:v>
      </x:c>
      <x:c r="C683" s="5" t="n">
        <x:v>45731</x:v>
      </x:c>
      <x:c r="D683" s="5" t="n">
        <x:v>45727</x:v>
      </x:c>
      <x:c r="E683" s="1" t="str">
        <x:v>Design</x:v>
      </x:c>
      <x:c r="F683" s="1" t="str">
        <x:v>E-book</x:v>
      </x:c>
      <x:c r="G683" s="1" t="str">
        <x:v>Medium</x:v>
      </x:c>
      <x:c r="H683" s="1" t="str">
        <x:v>Manual</x:v>
      </x:c>
      <x:c r="I683" s="1" t="str">
        <x:v>Manual / NA</x:v>
      </x:c>
      <x:c r="J683" s="1" t="n">
        <x:v>72</x:v>
      </x:c>
      <x:c r="K683" s="6" t="n">
        <x:v>32</x:v>
      </x:c>
      <x:c r="L683" s="6" t="n">
        <x:v>30.6</x:v>
      </x:c>
      <x:c r="M683" s="6" t="n">
        <x:v>0</x:v>
      </x:c>
      <x:c r="N683" s="6" t="n">
        <x:v>31121.57</x:v>
      </x:c>
      <x:c r="O683" s="6" t="n">
        <x:v>29729.48</x:v>
      </x:c>
      <x:c r="P683" s="6" t="n">
        <x:v>0</x:v>
      </x:c>
      <x:c r="Q683" s="1" t="n">
        <x:v>0</x:v>
      </x:c>
      <x:c r="R683" s="1" t="str">
        <x:v>Yes</x:v>
      </x:c>
      <x:c r="S683" s="7" t="n">
        <x:v>81.4</x:v>
      </x:c>
      <x:c r="T683" s="1" t="str">
        <x:v>Yes</x:v>
      </x:c>
      <x:c r="U683" s="1" t="str">
        <x:v>Completed</x:v>
      </x:c>
    </x:row>
    <x:row r="684">
      <x:c r="A684" s="1" t="str">
        <x:v>PUB-0683</x:v>
      </x:c>
      <x:c r="B684" s="5" t="n">
        <x:v>45842</x:v>
      </x:c>
      <x:c r="C684" s="5" t="n">
        <x:v>45851</x:v>
      </x:c>
      <x:c r="D684" s="5" t="n">
        <x:v>45844</x:v>
      </x:c>
      <x:c r="E684" s="1" t="str">
        <x:v>Digital Learning</x:v>
      </x:c>
      <x:c r="F684" s="1" t="str">
        <x:v>Workbook</x:v>
      </x:c>
      <x:c r="G684" s="1" t="str">
        <x:v>Medium</x:v>
      </x:c>
      <x:c r="H684" s="1" t="str">
        <x:v>AI-Assisted</x:v>
      </x:c>
      <x:c r="I684" s="1" t="str">
        <x:v>Structured v3</x:v>
      </x:c>
      <x:c r="J684" s="1" t="n">
        <x:v>63</x:v>
      </x:c>
      <x:c r="K684" s="6" t="n">
        <x:v>18.6</x:v>
      </x:c>
      <x:c r="L684" s="6" t="n">
        <x:v>27.8</x:v>
      </x:c>
      <x:c r="M684" s="6" t="n">
        <x:v>9.2</x:v>
      </x:c>
      <x:c r="N684" s="6" t="n">
        <x:v>13227.42</x:v>
      </x:c>
      <x:c r="O684" s="6" t="n">
        <x:v>19795.21</x:v>
      </x:c>
      <x:c r="P684" s="6" t="n">
        <x:v>6567.79</x:v>
      </x:c>
      <x:c r="Q684" s="1" t="n">
        <x:v>0</x:v>
      </x:c>
      <x:c r="R684" s="1" t="str">
        <x:v>Yes</x:v>
      </x:c>
      <x:c r="S684" s="7" t="n">
        <x:v>93.9</x:v>
      </x:c>
      <x:c r="T684" s="1" t="str">
        <x:v>Yes</x:v>
      </x:c>
      <x:c r="U684" s="1" t="str">
        <x:v>Completed</x:v>
      </x:c>
    </x:row>
    <x:row r="685">
      <x:c r="A685" s="1" t="str">
        <x:v>PUB-0684</x:v>
      </x:c>
      <x:c r="B685" s="5" t="n">
        <x:v>45896</x:v>
      </x:c>
      <x:c r="C685" s="5" t="n">
        <x:v>45904</x:v>
      </x:c>
      <x:c r="D685" s="5" t="n">
        <x:v>45898</x:v>
      </x:c>
      <x:c r="E685" s="1" t="str">
        <x:v>Design</x:v>
      </x:c>
      <x:c r="F685" s="1" t="str">
        <x:v>Workbook</x:v>
      </x:c>
      <x:c r="G685" s="1" t="str">
        <x:v>Medium</x:v>
      </x:c>
      <x:c r="H685" s="1" t="str">
        <x:v>AI-Assisted</x:v>
      </x:c>
      <x:c r="I685" s="1" t="str">
        <x:v>Few-shot v2</x:v>
      </x:c>
      <x:c r="J685" s="1" t="n">
        <x:v>34</x:v>
      </x:c>
      <x:c r="K685" s="6" t="n">
        <x:v>12.4</x:v>
      </x:c>
      <x:c r="L685" s="6" t="n">
        <x:v>17.6</x:v>
      </x:c>
      <x:c r="M685" s="6" t="n">
        <x:v>5.2</x:v>
      </x:c>
      <x:c r="N685" s="6" t="n">
        <x:v>13066.04</x:v>
      </x:c>
      <x:c r="O685" s="6" t="n">
        <x:v>18542.89</x:v>
      </x:c>
      <x:c r="P685" s="6" t="n">
        <x:v>5476.85</x:v>
      </x:c>
      <x:c r="Q685" s="1" t="n">
        <x:v>0</x:v>
      </x:c>
      <x:c r="R685" s="1" t="str">
        <x:v>Yes</x:v>
      </x:c>
      <x:c r="S685" s="7" t="n">
        <x:v>89.3</x:v>
      </x:c>
      <x:c r="T685" s="1" t="str">
        <x:v>Yes</x:v>
      </x:c>
      <x:c r="U685" s="1" t="str">
        <x:v>Completed</x:v>
      </x:c>
    </x:row>
    <x:row r="686">
      <x:c r="A686" s="1" t="str">
        <x:v>PUB-0685</x:v>
      </x:c>
      <x:c r="B686" s="5" t="n">
        <x:v>46103</x:v>
      </x:c>
      <x:c r="C686" s="5" t="n">
        <x:v>46111</x:v>
      </x:c>
      <x:c r="D686" s="5" t="n">
        <x:v>46106</x:v>
      </x:c>
      <x:c r="E686" s="1" t="str">
        <x:v>Editorial</x:v>
      </x:c>
      <x:c r="F686" s="1" t="str">
        <x:v>Workbook</x:v>
      </x:c>
      <x:c r="G686" s="1" t="str">
        <x:v>Low</x:v>
      </x:c>
      <x:c r="H686" s="1" t="str">
        <x:v>AI-Assisted</x:v>
      </x:c>
      <x:c r="I686" s="1" t="str">
        <x:v>Editorial QA</x:v>
      </x:c>
      <x:c r="J686" s="1" t="n">
        <x:v>135</x:v>
      </x:c>
      <x:c r="K686" s="6" t="n">
        <x:v>23.7</x:v>
      </x:c>
      <x:c r="L686" s="6" t="n">
        <x:v>46.5</x:v>
      </x:c>
      <x:c r="M686" s="6" t="n">
        <x:v>22.8</x:v>
      </x:c>
      <x:c r="N686" s="6" t="n">
        <x:v>20770.5</x:v>
      </x:c>
      <x:c r="O686" s="6" t="n">
        <x:v>40783.03</x:v>
      </x:c>
      <x:c r="P686" s="6" t="n">
        <x:v>20012.53</x:v>
      </x:c>
      <x:c r="Q686" s="1" t="n">
        <x:v>0</x:v>
      </x:c>
      <x:c r="R686" s="1" t="str">
        <x:v>Yes</x:v>
      </x:c>
      <x:c r="S686" s="7" t="n">
        <x:v>85.6</x:v>
      </x:c>
      <x:c r="T686" s="1" t="str">
        <x:v>Yes</x:v>
      </x:c>
      <x:c r="U686" s="1" t="str">
        <x:v>Completed</x:v>
      </x:c>
    </x:row>
    <x:row r="687">
      <x:c r="A687" s="1" t="str">
        <x:v>PUB-0686</x:v>
      </x:c>
      <x:c r="B687" s="5" t="n">
        <x:v>45662</x:v>
      </x:c>
      <x:c r="C687" s="5" t="n">
        <x:v>45676</x:v>
      </x:c>
      <x:c r="D687" s="5" t="n">
        <x:v>45670</x:v>
      </x:c>
      <x:c r="E687" s="1" t="str">
        <x:v>Digital Learning</x:v>
      </x:c>
      <x:c r="F687" s="1" t="str">
        <x:v>Workbook</x:v>
      </x:c>
      <x:c r="G687" s="1" t="str">
        <x:v>Low</x:v>
      </x:c>
      <x:c r="H687" s="1" t="str">
        <x:v>Manual</x:v>
      </x:c>
      <x:c r="I687" s="1" t="str">
        <x:v>Manual / NA</x:v>
      </x:c>
      <x:c r="J687" s="1" t="n">
        <x:v>111</x:v>
      </x:c>
      <x:c r="K687" s="6" t="n">
        <x:v>42.8</x:v>
      </x:c>
      <x:c r="L687" s="6" t="n">
        <x:v>43.4</x:v>
      </x:c>
      <x:c r="M687" s="6" t="n">
        <x:v>0.6</x:v>
      </x:c>
      <x:c r="N687" s="6" t="n">
        <x:v>35040.14</x:v>
      </x:c>
      <x:c r="O687" s="6" t="n">
        <x:v>35571.93</x:v>
      </x:c>
      <x:c r="P687" s="6" t="n">
        <x:v>531.79</x:v>
      </x:c>
      <x:c r="Q687" s="1" t="n">
        <x:v>1</x:v>
      </x:c>
      <x:c r="R687" s="1" t="str">
        <x:v>No</x:v>
      </x:c>
      <x:c r="S687" s="7" t="n">
        <x:v>81.2</x:v>
      </x:c>
      <x:c r="T687" s="1" t="str">
        <x:v>Yes</x:v>
      </x:c>
      <x:c r="U687" s="1" t="str">
        <x:v>Completed</x:v>
      </x:c>
    </x:row>
    <x:row r="688">
      <x:c r="A688" s="1" t="str">
        <x:v>PUB-0687</x:v>
      </x:c>
      <x:c r="B688" s="5" t="n">
        <x:v>45939</x:v>
      </x:c>
      <x:c r="C688" s="5" t="n">
        <x:v>45951</x:v>
      </x:c>
      <x:c r="D688" s="5" t="n">
        <x:v>45944</x:v>
      </x:c>
      <x:c r="E688" s="1" t="str">
        <x:v>Editorial</x:v>
      </x:c>
      <x:c r="F688" s="1" t="str">
        <x:v>Workbook</x:v>
      </x:c>
      <x:c r="G688" s="1" t="str">
        <x:v>Medium</x:v>
      </x:c>
      <x:c r="H688" s="1" t="str">
        <x:v>AI-Assisted</x:v>
      </x:c>
      <x:c r="I688" s="1" t="str">
        <x:v>Editorial QA</x:v>
      </x:c>
      <x:c r="J688" s="1" t="n">
        <x:v>134</x:v>
      </x:c>
      <x:c r="K688" s="6" t="n">
        <x:v>38.7</x:v>
      </x:c>
      <x:c r="L688" s="6" t="n">
        <x:v>59.8</x:v>
      </x:c>
      <x:c r="M688" s="6" t="n">
        <x:v>21.1</x:v>
      </x:c>
      <x:c r="N688" s="6" t="n">
        <x:v>33951.16</x:v>
      </x:c>
      <x:c r="O688" s="6" t="n">
        <x:v>52492.96</x:v>
      </x:c>
      <x:c r="P688" s="6" t="n">
        <x:v>18541.8</x:v>
      </x:c>
      <x:c r="Q688" s="1" t="n">
        <x:v>0</x:v>
      </x:c>
      <x:c r="R688" s="1" t="str">
        <x:v>Yes</x:v>
      </x:c>
      <x:c r="S688" s="7" t="n">
        <x:v>91.7</x:v>
      </x:c>
      <x:c r="T688" s="1" t="str">
        <x:v>Yes</x:v>
      </x:c>
      <x:c r="U688" s="1" t="str">
        <x:v>Completed</x:v>
      </x:c>
    </x:row>
    <x:row r="689">
      <x:c r="A689" s="1" t="str">
        <x:v>PUB-0688</x:v>
      </x:c>
      <x:c r="B689" s="5" t="n">
        <x:v>45887</x:v>
      </x:c>
      <x:c r="C689" s="5" t="n">
        <x:v>45905</x:v>
      </x:c>
      <x:c r="D689" s="5" t="str"/>
      <x:c r="E689" s="1" t="str">
        <x:v>Editorial</x:v>
      </x:c>
      <x:c r="F689" s="1" t="str">
        <x:v>School Textbook</x:v>
      </x:c>
      <x:c r="G689" s="1" t="str">
        <x:v>Medium</x:v>
      </x:c>
      <x:c r="H689" s="1" t="str">
        <x:v>AI-Assisted</x:v>
      </x:c>
      <x:c r="I689" s="1" t="str">
        <x:v>Structured v3</x:v>
      </x:c>
      <x:c r="J689" s="1" t="n">
        <x:v>184</x:v>
      </x:c>
      <x:c r="K689" s="6" t="n">
        <x:v>37.8</x:v>
      </x:c>
      <x:c r="L689" s="6" t="n">
        <x:v>75.4</x:v>
      </x:c>
      <x:c r="M689" s="6" t="n">
        <x:v>37.6</x:v>
      </x:c>
      <x:c r="N689" s="6" t="n">
        <x:v>38255.64</x:v>
      </x:c>
      <x:c r="O689" s="6" t="n">
        <x:v>76311.19</x:v>
      </x:c>
      <x:c r="P689" s="6" t="n">
        <x:v>38055.55</x:v>
      </x:c>
      <x:c r="Q689" s="1" t="n">
        <x:v>0</x:v>
      </x:c>
      <x:c r="R689" s="1" t="str"/>
      <x:c r="S689" s="7" t="n">
        <x:v>88.4</x:v>
      </x:c>
      <x:c r="T689" s="1" t="str"/>
      <x:c r="U689" s="1" t="str">
        <x:v>In Progress</x:v>
      </x:c>
    </x:row>
    <x:row r="690">
      <x:c r="A690" s="1" t="str">
        <x:v>PUB-0689</x:v>
      </x:c>
      <x:c r="B690" s="5" t="n">
        <x:v>45711</x:v>
      </x:c>
      <x:c r="C690" s="5" t="n">
        <x:v>45715</x:v>
      </x:c>
      <x:c r="D690" s="5" t="n">
        <x:v>45712</x:v>
      </x:c>
      <x:c r="E690" s="1" t="str">
        <x:v>Editorial</x:v>
      </x:c>
      <x:c r="F690" s="1" t="str">
        <x:v>Illustration</x:v>
      </x:c>
      <x:c r="G690" s="1" t="str">
        <x:v>Low</x:v>
      </x:c>
      <x:c r="H690" s="1" t="str">
        <x:v>AI-Assisted</x:v>
      </x:c>
      <x:c r="I690" s="1" t="str">
        <x:v>Visual Brief</x:v>
      </x:c>
      <x:c r="J690" s="1" t="n">
        <x:v>13</x:v>
      </x:c>
      <x:c r="K690" s="6" t="n">
        <x:v>3.7</x:v>
      </x:c>
      <x:c r="L690" s="6" t="n">
        <x:v>5.5</x:v>
      </x:c>
      <x:c r="M690" s="6" t="n">
        <x:v>1.8</x:v>
      </x:c>
      <x:c r="N690" s="6" t="n">
        <x:v>3107.18</x:v>
      </x:c>
      <x:c r="O690" s="6" t="n">
        <x:v>4577.56</x:v>
      </x:c>
      <x:c r="P690" s="6" t="n">
        <x:v>1470.38</x:v>
      </x:c>
      <x:c r="Q690" s="1" t="n">
        <x:v>0</x:v>
      </x:c>
      <x:c r="R690" s="1" t="str">
        <x:v>Yes</x:v>
      </x:c>
      <x:c r="S690" s="7" t="n">
        <x:v>95.5</x:v>
      </x:c>
      <x:c r="T690" s="1" t="str">
        <x:v>Yes</x:v>
      </x:c>
      <x:c r="U690" s="1" t="str">
        <x:v>Completed</x:v>
      </x:c>
    </x:row>
    <x:row r="691">
      <x:c r="A691" s="1" t="str">
        <x:v>PUB-0690</x:v>
      </x:c>
      <x:c r="B691" s="5" t="n">
        <x:v>45809</x:v>
      </x:c>
      <x:c r="C691" s="5" t="n">
        <x:v>45822</x:v>
      </x:c>
      <x:c r="D691" s="5" t="n">
        <x:v>45817</x:v>
      </x:c>
      <x:c r="E691" s="1" t="str">
        <x:v>Production</x:v>
      </x:c>
      <x:c r="F691" s="1" t="str">
        <x:v>E-book</x:v>
      </x:c>
      <x:c r="G691" s="1" t="str">
        <x:v>Medium</x:v>
      </x:c>
      <x:c r="H691" s="1" t="str">
        <x:v>Manual</x:v>
      </x:c>
      <x:c r="I691" s="1" t="str">
        <x:v>Manual / NA</x:v>
      </x:c>
      <x:c r="J691" s="1" t="n">
        <x:v>113</x:v>
      </x:c>
      <x:c r="K691" s="6" t="n">
        <x:v>56.4</x:v>
      </x:c>
      <x:c r="L691" s="6" t="n">
        <x:v>57.3</x:v>
      </x:c>
      <x:c r="M691" s="6" t="n">
        <x:v>0.9</x:v>
      </x:c>
      <x:c r="N691" s="6" t="n">
        <x:v>43442.76</x:v>
      </x:c>
      <x:c r="O691" s="6" t="n">
        <x:v>44130.09</x:v>
      </x:c>
      <x:c r="P691" s="6" t="n">
        <x:v>687.33</x:v>
      </x:c>
      <x:c r="Q691" s="1" t="n">
        <x:v>0</x:v>
      </x:c>
      <x:c r="R691" s="1" t="str">
        <x:v>Yes</x:v>
      </x:c>
      <x:c r="S691" s="7" t="n">
        <x:v>81.7</x:v>
      </x:c>
      <x:c r="T691" s="1" t="str">
        <x:v>Yes</x:v>
      </x:c>
      <x:c r="U691" s="1" t="str">
        <x:v>Completed</x:v>
      </x:c>
    </x:row>
    <x:row r="692">
      <x:c r="A692" s="1" t="str">
        <x:v>PUB-0691</x:v>
      </x:c>
      <x:c r="B692" s="5" t="n">
        <x:v>46152</x:v>
      </x:c>
      <x:c r="C692" s="5" t="n">
        <x:v>46166</x:v>
      </x:c>
      <x:c r="D692" s="5" t="n">
        <x:v>46159</x:v>
      </x:c>
      <x:c r="E692" s="1" t="str">
        <x:v>Editorial</x:v>
      </x:c>
      <x:c r="F692" s="1" t="str">
        <x:v>Workbook</x:v>
      </x:c>
      <x:c r="G692" s="1" t="str">
        <x:v>High</x:v>
      </x:c>
      <x:c r="H692" s="1" t="str">
        <x:v>AI-Assisted</x:v>
      </x:c>
      <x:c r="I692" s="1" t="str">
        <x:v>Structured v3</x:v>
      </x:c>
      <x:c r="J692" s="1" t="n">
        <x:v>150</x:v>
      </x:c>
      <x:c r="K692" s="6" t="n">
        <x:v>52</x:v>
      </x:c>
      <x:c r="L692" s="6" t="n">
        <x:v>81.8</x:v>
      </x:c>
      <x:c r="M692" s="6" t="n">
        <x:v>29.8</x:v>
      </x:c>
      <x:c r="N692" s="6" t="n">
        <x:v>56052.45</x:v>
      </x:c>
      <x:c r="O692" s="6" t="n">
        <x:v>88215.68</x:v>
      </x:c>
      <x:c r="P692" s="6" t="n">
        <x:v>32163.23</x:v>
      </x:c>
      <x:c r="Q692" s="1" t="n">
        <x:v>0</x:v>
      </x:c>
      <x:c r="R692" s="1" t="str">
        <x:v>Yes</x:v>
      </x:c>
      <x:c r="S692" s="7" t="n">
        <x:v>94.7</x:v>
      </x:c>
      <x:c r="T692" s="1" t="str">
        <x:v>Yes</x:v>
      </x:c>
      <x:c r="U692" s="1" t="str">
        <x:v>Completed</x:v>
      </x:c>
    </x:row>
    <x:row r="693">
      <x:c r="A693" s="1" t="str">
        <x:v>PUB-0692</x:v>
      </x:c>
      <x:c r="B693" s="5" t="n">
        <x:v>46137</x:v>
      </x:c>
      <x:c r="C693" s="5" t="n">
        <x:v>46157</x:v>
      </x:c>
      <x:c r="D693" s="5" t="n">
        <x:v>46144</x:v>
      </x:c>
      <x:c r="E693" s="1" t="str">
        <x:v>Digital Learning</x:v>
      </x:c>
      <x:c r="F693" s="1" t="str">
        <x:v>School Textbook</x:v>
      </x:c>
      <x:c r="G693" s="1" t="str">
        <x:v>High</x:v>
      </x:c>
      <x:c r="H693" s="1" t="str">
        <x:v>AI-Assisted</x:v>
      </x:c>
      <x:c r="I693" s="1" t="str">
        <x:v>Structured v3</x:v>
      </x:c>
      <x:c r="J693" s="1" t="n">
        <x:v>159</x:v>
      </x:c>
      <x:c r="K693" s="6" t="n">
        <x:v>55.1</x:v>
      </x:c>
      <x:c r="L693" s="6" t="n">
        <x:v>99.3</x:v>
      </x:c>
      <x:c r="M693" s="6" t="n">
        <x:v>44.2</x:v>
      </x:c>
      <x:c r="N693" s="6" t="n">
        <x:v>61832.71</x:v>
      </x:c>
      <x:c r="O693" s="6" t="n">
        <x:v>111418.58</x:v>
      </x:c>
      <x:c r="P693" s="6" t="n">
        <x:v>49585.87</x:v>
      </x:c>
      <x:c r="Q693" s="1" t="n">
        <x:v>0</x:v>
      </x:c>
      <x:c r="R693" s="1" t="str">
        <x:v>Yes</x:v>
      </x:c>
      <x:c r="S693" s="7" t="n">
        <x:v>91.9</x:v>
      </x:c>
      <x:c r="T693" s="1" t="str">
        <x:v>Yes</x:v>
      </x:c>
      <x:c r="U693" s="1" t="str">
        <x:v>Completed</x:v>
      </x:c>
    </x:row>
    <x:row r="694">
      <x:c r="A694" s="1" t="str">
        <x:v>PUB-0693</x:v>
      </x:c>
      <x:c r="B694" s="5" t="n">
        <x:v>45766</x:v>
      </x:c>
      <x:c r="C694" s="5" t="n">
        <x:v>45781</x:v>
      </x:c>
      <x:c r="D694" s="5" t="str"/>
      <x:c r="E694" s="1" t="str">
        <x:v>Digital Learning</x:v>
      </x:c>
      <x:c r="F694" s="1" t="str">
        <x:v>School Textbook</x:v>
      </x:c>
      <x:c r="G694" s="1" t="str">
        <x:v>Medium</x:v>
      </x:c>
      <x:c r="H694" s="1" t="str">
        <x:v>AI-Assisted</x:v>
      </x:c>
      <x:c r="I694" s="1" t="str">
        <x:v>Visual Brief</x:v>
      </x:c>
      <x:c r="J694" s="1" t="n">
        <x:v>166</x:v>
      </x:c>
      <x:c r="K694" s="6" t="n">
        <x:v>46.3</x:v>
      </x:c>
      <x:c r="L694" s="6" t="n">
        <x:v>88.2</x:v>
      </x:c>
      <x:c r="M694" s="6" t="n">
        <x:v>41.9</x:v>
      </x:c>
      <x:c r="N694" s="6" t="n">
        <x:v>36526.96</x:v>
      </x:c>
      <x:c r="O694" s="6" t="n">
        <x:v>69619.26</x:v>
      </x:c>
      <x:c r="P694" s="6" t="n">
        <x:v>33092.3</x:v>
      </x:c>
      <x:c r="Q694" s="1" t="n">
        <x:v>1</x:v>
      </x:c>
      <x:c r="R694" s="1" t="str"/>
      <x:c r="S694" s="7" t="n">
        <x:v>92.8</x:v>
      </x:c>
      <x:c r="T694" s="1" t="str"/>
      <x:c r="U694" s="1" t="str">
        <x:v>In Review</x:v>
      </x:c>
    </x:row>
    <x:row r="695">
      <x:c r="A695" s="1" t="str">
        <x:v>PUB-0694</x:v>
      </x:c>
      <x:c r="B695" s="5" t="n">
        <x:v>45770</x:v>
      </x:c>
      <x:c r="C695" s="5" t="n">
        <x:v>45783</x:v>
      </x:c>
      <x:c r="D695" s="5" t="n">
        <x:v>45775</x:v>
      </x:c>
      <x:c r="E695" s="1" t="str">
        <x:v>Editorial</x:v>
      </x:c>
      <x:c r="F695" s="1" t="str">
        <x:v>E-book</x:v>
      </x:c>
      <x:c r="G695" s="1" t="str">
        <x:v>Medium</x:v>
      </x:c>
      <x:c r="H695" s="1" t="str">
        <x:v>AI-Assisted</x:v>
      </x:c>
      <x:c r="I695" s="1" t="str">
        <x:v>Structured v3</x:v>
      </x:c>
      <x:c r="J695" s="1" t="n">
        <x:v>177</x:v>
      </x:c>
      <x:c r="K695" s="6" t="n">
        <x:v>39.4</x:v>
      </x:c>
      <x:c r="L695" s="6" t="n">
        <x:v>77.4</x:v>
      </x:c>
      <x:c r="M695" s="6" t="n">
        <x:v>38</x:v>
      </x:c>
      <x:c r="N695" s="6" t="n">
        <x:v>36450.99</x:v>
      </x:c>
      <x:c r="O695" s="6" t="n">
        <x:v>71630.09</x:v>
      </x:c>
      <x:c r="P695" s="6" t="n">
        <x:v>35179.1</x:v>
      </x:c>
      <x:c r="Q695" s="1" t="n">
        <x:v>0</x:v>
      </x:c>
      <x:c r="R695" s="1" t="str">
        <x:v>Yes</x:v>
      </x:c>
      <x:c r="S695" s="7" t="n">
        <x:v>83.2</x:v>
      </x:c>
      <x:c r="T695" s="1" t="str">
        <x:v>Yes</x:v>
      </x:c>
      <x:c r="U695" s="1" t="str">
        <x:v>Completed</x:v>
      </x:c>
    </x:row>
    <x:row r="696">
      <x:c r="A696" s="1" t="str">
        <x:v>PUB-0695</x:v>
      </x:c>
      <x:c r="B696" s="5" t="n">
        <x:v>46099</x:v>
      </x:c>
      <x:c r="C696" s="5" t="n">
        <x:v>46118</x:v>
      </x:c>
      <x:c r="D696" s="5" t="n">
        <x:v>46106</x:v>
      </x:c>
      <x:c r="E696" s="1" t="str">
        <x:v>Design</x:v>
      </x:c>
      <x:c r="F696" s="1" t="str">
        <x:v>School Textbook</x:v>
      </x:c>
      <x:c r="G696" s="1" t="str">
        <x:v>Medium</x:v>
      </x:c>
      <x:c r="H696" s="1" t="str">
        <x:v>AI-Assisted</x:v>
      </x:c>
      <x:c r="I696" s="1" t="str">
        <x:v>Structured v3</x:v>
      </x:c>
      <x:c r="J696" s="1" t="n">
        <x:v>174</x:v>
      </x:c>
      <x:c r="K696" s="6" t="n">
        <x:v>51.7</x:v>
      </x:c>
      <x:c r="L696" s="6" t="n">
        <x:v>98.2</x:v>
      </x:c>
      <x:c r="M696" s="6" t="n">
        <x:v>46.5</x:v>
      </x:c>
      <x:c r="N696" s="6" t="n">
        <x:v>38502.27</x:v>
      </x:c>
      <x:c r="O696" s="6" t="n">
        <x:v>73105.62</x:v>
      </x:c>
      <x:c r="P696" s="6" t="n">
        <x:v>34603.35</x:v>
      </x:c>
      <x:c r="Q696" s="1" t="n">
        <x:v>0</x:v>
      </x:c>
      <x:c r="R696" s="1" t="str">
        <x:v>Yes</x:v>
      </x:c>
      <x:c r="S696" s="7" t="n">
        <x:v>87.8</x:v>
      </x:c>
      <x:c r="T696" s="1" t="str">
        <x:v>Yes</x:v>
      </x:c>
      <x:c r="U696" s="1" t="str">
        <x:v>Completed</x:v>
      </x:c>
    </x:row>
    <x:row r="697">
      <x:c r="A697" s="1" t="str">
        <x:v>PUB-0696</x:v>
      </x:c>
      <x:c r="B697" s="5" t="n">
        <x:v>45709</x:v>
      </x:c>
      <x:c r="C697" s="5" t="n">
        <x:v>45718</x:v>
      </x:c>
      <x:c r="D697" s="5" t="n">
        <x:v>45710</x:v>
      </x:c>
      <x:c r="E697" s="1" t="str">
        <x:v>Production</x:v>
      </x:c>
      <x:c r="F697" s="1" t="str">
        <x:v>E-book</x:v>
      </x:c>
      <x:c r="G697" s="1" t="str">
        <x:v>Medium</x:v>
      </x:c>
      <x:c r="H697" s="1" t="str">
        <x:v>AI-Assisted</x:v>
      </x:c>
      <x:c r="I697" s="1" t="str">
        <x:v>Structured v3</x:v>
      </x:c>
      <x:c r="J697" s="1" t="n">
        <x:v>17</x:v>
      </x:c>
      <x:c r="K697" s="6" t="n">
        <x:v>4.3</x:v>
      </x:c>
      <x:c r="L697" s="6" t="n">
        <x:v>7</x:v>
      </x:c>
      <x:c r="M697" s="6" t="n">
        <x:v>2.7</x:v>
      </x:c>
      <x:c r="N697" s="6" t="n">
        <x:v>3387.24</x:v>
      </x:c>
      <x:c r="O697" s="6" t="n">
        <x:v>5524.34</x:v>
      </x:c>
      <x:c r="P697" s="6" t="n">
        <x:v>2137.1</x:v>
      </x:c>
      <x:c r="Q697" s="1" t="n">
        <x:v>0</x:v>
      </x:c>
      <x:c r="R697" s="1" t="str">
        <x:v>Yes</x:v>
      </x:c>
      <x:c r="S697" s="7" t="n">
        <x:v>96.4</x:v>
      </x:c>
      <x:c r="T697" s="1" t="str">
        <x:v>Yes</x:v>
      </x:c>
      <x:c r="U697" s="1" t="str">
        <x:v>Completed</x:v>
      </x:c>
    </x:row>
    <x:row r="698">
      <x:c r="A698" s="1" t="str">
        <x:v>PUB-0697</x:v>
      </x:c>
      <x:c r="B698" s="5" t="n">
        <x:v>46060</x:v>
      </x:c>
      <x:c r="C698" s="5" t="n">
        <x:v>46065</x:v>
      </x:c>
      <x:c r="D698" s="5" t="str"/>
      <x:c r="E698" s="1" t="str">
        <x:v>Editorial</x:v>
      </x:c>
      <x:c r="F698" s="1" t="str">
        <x:v>Illustration</x:v>
      </x:c>
      <x:c r="G698" s="1" t="str">
        <x:v>Medium</x:v>
      </x:c>
      <x:c r="H698" s="1" t="str">
        <x:v>Manual</x:v>
      </x:c>
      <x:c r="I698" s="1" t="str">
        <x:v>Manual / NA</x:v>
      </x:c>
      <x:c r="J698" s="1" t="n">
        <x:v>38</x:v>
      </x:c>
      <x:c r="K698" s="6" t="n">
        <x:v>13.9</x:v>
      </x:c>
      <x:c r="L698" s="6" t="n">
        <x:v>15.1</x:v>
      </x:c>
      <x:c r="M698" s="6" t="n">
        <x:v>1.2</x:v>
      </x:c>
      <x:c r="N698" s="6" t="n">
        <x:v>13461.45</x:v>
      </x:c>
      <x:c r="O698" s="6" t="n">
        <x:v>14633.08</x:v>
      </x:c>
      <x:c r="P698" s="6" t="n">
        <x:v>1171.63</x:v>
      </x:c>
      <x:c r="Q698" s="1" t="n">
        <x:v>0</x:v>
      </x:c>
      <x:c r="R698" s="1" t="str"/>
      <x:c r="S698" s="7" t="n">
        <x:v>84.9</x:v>
      </x:c>
      <x:c r="T698" s="1" t="str"/>
      <x:c r="U698" s="1" t="str">
        <x:v>In Review</x:v>
      </x:c>
    </x:row>
    <x:row r="699">
      <x:c r="A699" s="1" t="str">
        <x:v>PUB-0698</x:v>
      </x:c>
      <x:c r="B699" s="5" t="n">
        <x:v>46146</x:v>
      </x:c>
      <x:c r="C699" s="5" t="n">
        <x:v>46158</x:v>
      </x:c>
      <x:c r="D699" s="5" t="n">
        <x:v>46153</x:v>
      </x:c>
      <x:c r="E699" s="1" t="str">
        <x:v>Production</x:v>
      </x:c>
      <x:c r="F699" s="1" t="str">
        <x:v>E-book</x:v>
      </x:c>
      <x:c r="G699" s="1" t="str">
        <x:v>Low</x:v>
      </x:c>
      <x:c r="H699" s="1" t="str">
        <x:v>AI-Assisted</x:v>
      </x:c>
      <x:c r="I699" s="1" t="str">
        <x:v>Structured v3</x:v>
      </x:c>
      <x:c r="J699" s="1" t="n">
        <x:v>182</x:v>
      </x:c>
      <x:c r="K699" s="6" t="n">
        <x:v>41.7</x:v>
      </x:c>
      <x:c r="L699" s="6" t="n">
        <x:v>59.9</x:v>
      </x:c>
      <x:c r="M699" s="6" t="n">
        <x:v>18.2</x:v>
      </x:c>
      <x:c r="N699" s="6" t="n">
        <x:v>30062.23</x:v>
      </x:c>
      <x:c r="O699" s="6" t="n">
        <x:v>43166.66</x:v>
      </x:c>
      <x:c r="P699" s="6" t="n">
        <x:v>13104.43</x:v>
      </x:c>
      <x:c r="Q699" s="1" t="n">
        <x:v>1</x:v>
      </x:c>
      <x:c r="R699" s="1" t="str">
        <x:v>No</x:v>
      </x:c>
      <x:c r="S699" s="7" t="n">
        <x:v>87.8</x:v>
      </x:c>
      <x:c r="T699" s="1" t="str">
        <x:v>Yes</x:v>
      </x:c>
      <x:c r="U699" s="1" t="str">
        <x:v>Completed</x:v>
      </x:c>
    </x:row>
    <x:row r="700">
      <x:c r="A700" s="1" t="str">
        <x:v>PUB-0699</x:v>
      </x:c>
      <x:c r="B700" s="5" t="n">
        <x:v>45928</x:v>
      </x:c>
      <x:c r="C700" s="5" t="n">
        <x:v>45934</x:v>
      </x:c>
      <x:c r="D700" s="5" t="n">
        <x:v>45930</x:v>
      </x:c>
      <x:c r="E700" s="1" t="str">
        <x:v>Digital Learning</x:v>
      </x:c>
      <x:c r="F700" s="1" t="str">
        <x:v>School Textbook</x:v>
      </x:c>
      <x:c r="G700" s="1" t="str">
        <x:v>Medium</x:v>
      </x:c>
      <x:c r="H700" s="1" t="str">
        <x:v>Manual</x:v>
      </x:c>
      <x:c r="I700" s="1" t="str">
        <x:v>Manual / NA</x:v>
      </x:c>
      <x:c r="J700" s="1" t="n">
        <x:v>10</x:v>
      </x:c>
      <x:c r="K700" s="6" t="n">
        <x:v>5.7</x:v>
      </x:c>
      <x:c r="L700" s="6" t="n">
        <x:v>5.7</x:v>
      </x:c>
      <x:c r="M700" s="6" t="n">
        <x:v>0</x:v>
      </x:c>
      <x:c r="N700" s="6" t="n">
        <x:v>5096.68</x:v>
      </x:c>
      <x:c r="O700" s="6" t="n">
        <x:v>5126.18</x:v>
      </x:c>
      <x:c r="P700" s="6" t="n">
        <x:v>29.5</x:v>
      </x:c>
      <x:c r="Q700" s="1" t="n">
        <x:v>1</x:v>
      </x:c>
      <x:c r="R700" s="1" t="str">
        <x:v>No</x:v>
      </x:c>
      <x:c r="S700" s="7" t="n">
        <x:v>86.4</x:v>
      </x:c>
      <x:c r="T700" s="1" t="str">
        <x:v>Yes</x:v>
      </x:c>
      <x:c r="U700" s="1" t="str">
        <x:v>Completed</x:v>
      </x:c>
    </x:row>
    <x:row r="701">
      <x:c r="A701" s="1" t="str">
        <x:v>PUB-0700</x:v>
      </x:c>
      <x:c r="B701" s="5" t="n">
        <x:v>45829</x:v>
      </x:c>
      <x:c r="C701" s="5" t="n">
        <x:v>45836</x:v>
      </x:c>
      <x:c r="D701" s="5" t="n">
        <x:v>45831</x:v>
      </x:c>
      <x:c r="E701" s="1" t="str">
        <x:v>Production</x:v>
      </x:c>
      <x:c r="F701" s="1" t="str">
        <x:v>Illustration</x:v>
      </x:c>
      <x:c r="G701" s="1" t="str">
        <x:v>Medium</x:v>
      </x:c>
      <x:c r="H701" s="1" t="str">
        <x:v>AI-Assisted</x:v>
      </x:c>
      <x:c r="I701" s="1" t="str">
        <x:v>Editorial QA</x:v>
      </x:c>
      <x:c r="J701" s="1" t="n">
        <x:v>46</x:v>
      </x:c>
      <x:c r="K701" s="6" t="n">
        <x:v>17.2</x:v>
      </x:c>
      <x:c r="L701" s="6" t="n">
        <x:v>24</x:v>
      </x:c>
      <x:c r="M701" s="6" t="n">
        <x:v>6.8</x:v>
      </x:c>
      <x:c r="N701" s="6" t="n">
        <x:v>13393.12</x:v>
      </x:c>
      <x:c r="O701" s="6" t="n">
        <x:v>18685.21</x:v>
      </x:c>
      <x:c r="P701" s="6" t="n">
        <x:v>5292.09</x:v>
      </x:c>
      <x:c r="Q701" s="1" t="n">
        <x:v>0</x:v>
      </x:c>
      <x:c r="R701" s="1" t="str">
        <x:v>Yes</x:v>
      </x:c>
      <x:c r="S701" s="7" t="n">
        <x:v>82.5</x:v>
      </x:c>
      <x:c r="T701" s="1" t="str">
        <x:v>Yes</x:v>
      </x:c>
      <x:c r="U701" s="1" t="str">
        <x:v>Completed</x:v>
      </x:c>
    </x:row>
    <x:row r="702">
      <x:c r="A702" s="1" t="str">
        <x:v>PUB-0701</x:v>
      </x:c>
      <x:c r="B702" s="5" t="n">
        <x:v>46019</x:v>
      </x:c>
      <x:c r="C702" s="5" t="n">
        <x:v>46032</x:v>
      </x:c>
      <x:c r="D702" s="5" t="n">
        <x:v>46026</x:v>
      </x:c>
      <x:c r="E702" s="1" t="str">
        <x:v>Editorial</x:v>
      </x:c>
      <x:c r="F702" s="1" t="str">
        <x:v>Workbook</x:v>
      </x:c>
      <x:c r="G702" s="1" t="str">
        <x:v>Medium</x:v>
      </x:c>
      <x:c r="H702" s="1" t="str">
        <x:v>AI-Assisted</x:v>
      </x:c>
      <x:c r="I702" s="1" t="str">
        <x:v>Editorial QA</x:v>
      </x:c>
      <x:c r="J702" s="1" t="n">
        <x:v>160</x:v>
      </x:c>
      <x:c r="K702" s="6" t="n">
        <x:v>40.6</x:v>
      </x:c>
      <x:c r="L702" s="6" t="n">
        <x:v>67.1</x:v>
      </x:c>
      <x:c r="M702" s="6" t="n">
        <x:v>26.5</x:v>
      </x:c>
      <x:c r="N702" s="6" t="n">
        <x:v>39377.95</x:v>
      </x:c>
      <x:c r="O702" s="6" t="n">
        <x:v>65082.04</x:v>
      </x:c>
      <x:c r="P702" s="6" t="n">
        <x:v>25704.09</x:v>
      </x:c>
      <x:c r="Q702" s="1" t="n">
        <x:v>1</x:v>
      </x:c>
      <x:c r="R702" s="1" t="str">
        <x:v>No</x:v>
      </x:c>
      <x:c r="S702" s="7" t="n">
        <x:v>90.7</x:v>
      </x:c>
      <x:c r="T702" s="1" t="str">
        <x:v>Yes</x:v>
      </x:c>
      <x:c r="U702" s="1" t="str">
        <x:v>Completed</x:v>
      </x:c>
    </x:row>
    <x:row r="703">
      <x:c r="A703" s="1" t="str">
        <x:v>PUB-0702</x:v>
      </x:c>
      <x:c r="B703" s="5" t="n">
        <x:v>46099</x:v>
      </x:c>
      <x:c r="C703" s="5" t="n">
        <x:v>46107</x:v>
      </x:c>
      <x:c r="D703" s="5" t="n">
        <x:v>46100</x:v>
      </x:c>
      <x:c r="E703" s="1" t="str">
        <x:v>Design</x:v>
      </x:c>
      <x:c r="F703" s="1" t="str">
        <x:v>Illustration</x:v>
      </x:c>
      <x:c r="G703" s="1" t="str">
        <x:v>High</x:v>
      </x:c>
      <x:c r="H703" s="1" t="str">
        <x:v>AI-Assisted</x:v>
      </x:c>
      <x:c r="I703" s="1" t="str">
        <x:v>Visual Brief</x:v>
      </x:c>
      <x:c r="J703" s="1" t="n">
        <x:v>17</x:v>
      </x:c>
      <x:c r="K703" s="6" t="n">
        <x:v>8</x:v>
      </x:c>
      <x:c r="L703" s="6" t="n">
        <x:v>12.4</x:v>
      </x:c>
      <x:c r="M703" s="6" t="n">
        <x:v>4.4</x:v>
      </x:c>
      <x:c r="N703" s="6" t="n">
        <x:v>8796.89</x:v>
      </x:c>
      <x:c r="O703" s="6" t="n">
        <x:v>13644.72</x:v>
      </x:c>
      <x:c r="P703" s="6" t="n">
        <x:v>4847.83</x:v>
      </x:c>
      <x:c r="Q703" s="1" t="n">
        <x:v>0</x:v>
      </x:c>
      <x:c r="R703" s="1" t="str">
        <x:v>Yes</x:v>
      </x:c>
      <x:c r="S703" s="7" t="n">
        <x:v>99</x:v>
      </x:c>
      <x:c r="T703" s="1" t="str">
        <x:v>Yes</x:v>
      </x:c>
      <x:c r="U703" s="1" t="str">
        <x:v>Completed</x:v>
      </x:c>
    </x:row>
    <x:row r="704">
      <x:c r="A704" s="1" t="str">
        <x:v>PUB-0703</x:v>
      </x:c>
      <x:c r="B704" s="5" t="n">
        <x:v>46015</x:v>
      </x:c>
      <x:c r="C704" s="5" t="n">
        <x:v>46024</x:v>
      </x:c>
      <x:c r="D704" s="5" t="n">
        <x:v>46022</x:v>
      </x:c>
      <x:c r="E704" s="1" t="str">
        <x:v>Digital Learning</x:v>
      </x:c>
      <x:c r="F704" s="1" t="str">
        <x:v>Workbook</x:v>
      </x:c>
      <x:c r="G704" s="1" t="str">
        <x:v>Low</x:v>
      </x:c>
      <x:c r="H704" s="1" t="str">
        <x:v>AI-Assisted</x:v>
      </x:c>
      <x:c r="I704" s="1" t="str">
        <x:v>Visual Brief</x:v>
      </x:c>
      <x:c r="J704" s="1" t="n">
        <x:v>87</x:v>
      </x:c>
      <x:c r="K704" s="6" t="n">
        <x:v>22.6</x:v>
      </x:c>
      <x:c r="L704" s="6" t="n">
        <x:v>34.8</x:v>
      </x:c>
      <x:c r="M704" s="6" t="n">
        <x:v>12.2</x:v>
      </x:c>
      <x:c r="N704" s="6" t="n">
        <x:v>24116.14</x:v>
      </x:c>
      <x:c r="O704" s="6" t="n">
        <x:v>37110.9</x:v>
      </x:c>
      <x:c r="P704" s="6" t="n">
        <x:v>12994.76</x:v>
      </x:c>
      <x:c r="Q704" s="1" t="n">
        <x:v>2</x:v>
      </x:c>
      <x:c r="R704" s="1" t="str">
        <x:v>No</x:v>
      </x:c>
      <x:c r="S704" s="7" t="n">
        <x:v>76.9</x:v>
      </x:c>
      <x:c r="T704" s="1" t="str">
        <x:v>Yes</x:v>
      </x:c>
      <x:c r="U704" s="1" t="str">
        <x:v>Completed</x:v>
      </x:c>
    </x:row>
    <x:row r="705">
      <x:c r="A705" s="1" t="str">
        <x:v>PUB-0704</x:v>
      </x:c>
      <x:c r="B705" s="5" t="n">
        <x:v>45666</x:v>
      </x:c>
      <x:c r="C705" s="5" t="n">
        <x:v>45671</x:v>
      </x:c>
      <x:c r="D705" s="5" t="n">
        <x:v>45668</x:v>
      </x:c>
      <x:c r="E705" s="1" t="str">
        <x:v>Design</x:v>
      </x:c>
      <x:c r="F705" s="1" t="str">
        <x:v>Illustration</x:v>
      </x:c>
      <x:c r="G705" s="1" t="str">
        <x:v>Medium</x:v>
      </x:c>
      <x:c r="H705" s="1" t="str">
        <x:v>AI-Assisted</x:v>
      </x:c>
      <x:c r="I705" s="1" t="str">
        <x:v>Structured v3</x:v>
      </x:c>
      <x:c r="J705" s="1" t="n">
        <x:v>41</x:v>
      </x:c>
      <x:c r="K705" s="6" t="n">
        <x:v>11.5</x:v>
      </x:c>
      <x:c r="L705" s="6" t="n">
        <x:v>20.8</x:v>
      </x:c>
      <x:c r="M705" s="6" t="n">
        <x:v>9.3</x:v>
      </x:c>
      <x:c r="N705" s="6" t="n">
        <x:v>9132.49</x:v>
      </x:c>
      <x:c r="O705" s="6" t="n">
        <x:v>16479.92</x:v>
      </x:c>
      <x:c r="P705" s="6" t="n">
        <x:v>7347.43</x:v>
      </x:c>
      <x:c r="Q705" s="1" t="n">
        <x:v>0</x:v>
      </x:c>
      <x:c r="R705" s="1" t="str">
        <x:v>Yes</x:v>
      </x:c>
      <x:c r="S705" s="7" t="n">
        <x:v>85</x:v>
      </x:c>
      <x:c r="T705" s="1" t="str">
        <x:v>Yes</x:v>
      </x:c>
      <x:c r="U705" s="1" t="str">
        <x:v>Completed</x:v>
      </x:c>
    </x:row>
    <x:row r="706">
      <x:c r="A706" s="1" t="str">
        <x:v>PUB-0705</x:v>
      </x:c>
      <x:c r="B706" s="5" t="n">
        <x:v>45947</x:v>
      </x:c>
      <x:c r="C706" s="5" t="n">
        <x:v>45960</x:v>
      </x:c>
      <x:c r="D706" s="5" t="n">
        <x:v>45950</x:v>
      </x:c>
      <x:c r="E706" s="1" t="str">
        <x:v>Digital Learning</x:v>
      </x:c>
      <x:c r="F706" s="1" t="str">
        <x:v>School Textbook</x:v>
      </x:c>
      <x:c r="G706" s="1" t="str">
        <x:v>Medium</x:v>
      </x:c>
      <x:c r="H706" s="1" t="str">
        <x:v>AI-Assisted</x:v>
      </x:c>
      <x:c r="I706" s="1" t="str">
        <x:v>Structured v3</x:v>
      </x:c>
      <x:c r="J706" s="1" t="n">
        <x:v>98</x:v>
      </x:c>
      <x:c r="K706" s="6" t="n">
        <x:v>19.1</x:v>
      </x:c>
      <x:c r="L706" s="6" t="n">
        <x:v>35.3</x:v>
      </x:c>
      <x:c r="M706" s="6" t="n">
        <x:v>16.2</x:v>
      </x:c>
      <x:c r="N706" s="6" t="n">
        <x:v>15759.58</x:v>
      </x:c>
      <x:c r="O706" s="6" t="n">
        <x:v>29121.27</x:v>
      </x:c>
      <x:c r="P706" s="6" t="n">
        <x:v>13361.69</x:v>
      </x:c>
      <x:c r="Q706" s="1" t="n">
        <x:v>0</x:v>
      </x:c>
      <x:c r="R706" s="1" t="str">
        <x:v>Yes</x:v>
      </x:c>
      <x:c r="S706" s="7" t="n">
        <x:v>94.1</x:v>
      </x:c>
      <x:c r="T706" s="1" t="str">
        <x:v>Yes</x:v>
      </x:c>
      <x:c r="U706" s="1" t="str">
        <x:v>Completed</x:v>
      </x:c>
    </x:row>
    <x:row r="707">
      <x:c r="A707" s="1" t="str">
        <x:v>PUB-0706</x:v>
      </x:c>
      <x:c r="B707" s="5" t="n">
        <x:v>45746</x:v>
      </x:c>
      <x:c r="C707" s="5" t="n">
        <x:v>45760</x:v>
      </x:c>
      <x:c r="D707" s="5" t="n">
        <x:v>45751</x:v>
      </x:c>
      <x:c r="E707" s="1" t="str">
        <x:v>Production</x:v>
      </x:c>
      <x:c r="F707" s="1" t="str">
        <x:v>School Textbook</x:v>
      </x:c>
      <x:c r="G707" s="1" t="str">
        <x:v>Medium</x:v>
      </x:c>
      <x:c r="H707" s="1" t="str">
        <x:v>Manual</x:v>
      </x:c>
      <x:c r="I707" s="1" t="str">
        <x:v>Manual / NA</x:v>
      </x:c>
      <x:c r="J707" s="1" t="n">
        <x:v>118</x:v>
      </x:c>
      <x:c r="K707" s="6" t="n">
        <x:v>41.2</x:v>
      </x:c>
      <x:c r="L707" s="6" t="n">
        <x:v>44.6</x:v>
      </x:c>
      <x:c r="M707" s="6" t="n">
        <x:v>3.4</x:v>
      </x:c>
      <x:c r="N707" s="6" t="n">
        <x:v>36527.46</x:v>
      </x:c>
      <x:c r="O707" s="6" t="n">
        <x:v>39520.09</x:v>
      </x:c>
      <x:c r="P707" s="6" t="n">
        <x:v>2992.63</x:v>
      </x:c>
      <x:c r="Q707" s="1" t="n">
        <x:v>0</x:v>
      </x:c>
      <x:c r="R707" s="1" t="str">
        <x:v>Yes</x:v>
      </x:c>
      <x:c r="S707" s="7" t="n">
        <x:v>78.7</x:v>
      </x:c>
      <x:c r="T707" s="1" t="str">
        <x:v>Yes</x:v>
      </x:c>
      <x:c r="U707" s="1" t="str">
        <x:v>Completed</x:v>
      </x:c>
    </x:row>
    <x:row r="708">
      <x:c r="A708" s="1" t="str">
        <x:v>PUB-0707</x:v>
      </x:c>
      <x:c r="B708" s="5" t="n">
        <x:v>46090</x:v>
      </x:c>
      <x:c r="C708" s="5" t="n">
        <x:v>46099</x:v>
      </x:c>
      <x:c r="D708" s="5" t="n">
        <x:v>46094</x:v>
      </x:c>
      <x:c r="E708" s="1" t="str">
        <x:v>Design</x:v>
      </x:c>
      <x:c r="F708" s="1" t="str">
        <x:v>E-book</x:v>
      </x:c>
      <x:c r="G708" s="1" t="str">
        <x:v>Medium</x:v>
      </x:c>
      <x:c r="H708" s="1" t="str">
        <x:v>Manual</x:v>
      </x:c>
      <x:c r="I708" s="1" t="str">
        <x:v>Manual / NA</x:v>
      </x:c>
      <x:c r="J708" s="1" t="n">
        <x:v>85</x:v>
      </x:c>
      <x:c r="K708" s="6" t="n">
        <x:v>32.7</x:v>
      </x:c>
      <x:c r="L708" s="6" t="n">
        <x:v>33.8</x:v>
      </x:c>
      <x:c r="M708" s="6" t="n">
        <x:v>1.1</x:v>
      </x:c>
      <x:c r="N708" s="6" t="n">
        <x:v>35576.49</x:v>
      </x:c>
      <x:c r="O708" s="6" t="n">
        <x:v>36817.59</x:v>
      </x:c>
      <x:c r="P708" s="6" t="n">
        <x:v>1241.1</x:v>
      </x:c>
      <x:c r="Q708" s="1" t="n">
        <x:v>0</x:v>
      </x:c>
      <x:c r="R708" s="1" t="str">
        <x:v>Yes</x:v>
      </x:c>
      <x:c r="S708" s="7" t="n">
        <x:v>91</x:v>
      </x:c>
      <x:c r="T708" s="1" t="str">
        <x:v>Yes</x:v>
      </x:c>
      <x:c r="U708" s="1" t="str">
        <x:v>Completed</x:v>
      </x:c>
    </x:row>
    <x:row r="709">
      <x:c r="A709" s="1" t="str">
        <x:v>PUB-0708</x:v>
      </x:c>
      <x:c r="B709" s="5" t="n">
        <x:v>45862</x:v>
      </x:c>
      <x:c r="C709" s="5" t="n">
        <x:v>45878</x:v>
      </x:c>
      <x:c r="D709" s="5" t="n">
        <x:v>45868</x:v>
      </x:c>
      <x:c r="E709" s="1" t="str">
        <x:v>Editorial</x:v>
      </x:c>
      <x:c r="F709" s="1" t="str">
        <x:v>School Textbook</x:v>
      </x:c>
      <x:c r="G709" s="1" t="str">
        <x:v>Low</x:v>
      </x:c>
      <x:c r="H709" s="1" t="str">
        <x:v>AI-Assisted</x:v>
      </x:c>
      <x:c r="I709" s="1" t="str">
        <x:v>Editorial QA</x:v>
      </x:c>
      <x:c r="J709" s="1" t="n">
        <x:v>147</x:v>
      </x:c>
      <x:c r="K709" s="6" t="n">
        <x:v>43.6</x:v>
      </x:c>
      <x:c r="L709" s="6" t="n">
        <x:v>64.1</x:v>
      </x:c>
      <x:c r="M709" s="6" t="n">
        <x:v>20.5</x:v>
      </x:c>
      <x:c r="N709" s="6" t="n">
        <x:v>30433.72</x:v>
      </x:c>
      <x:c r="O709" s="6" t="n">
        <x:v>44773.07</x:v>
      </x:c>
      <x:c r="P709" s="6" t="n">
        <x:v>14339.35</x:v>
      </x:c>
      <x:c r="Q709" s="1" t="n">
        <x:v>0</x:v>
      </x:c>
      <x:c r="R709" s="1" t="str">
        <x:v>Yes</x:v>
      </x:c>
      <x:c r="S709" s="7" t="n">
        <x:v>96.2</x:v>
      </x:c>
      <x:c r="T709" s="1" t="str">
        <x:v>Yes</x:v>
      </x:c>
      <x:c r="U709" s="1" t="str">
        <x:v>Completed</x:v>
      </x:c>
    </x:row>
    <x:row r="710">
      <x:c r="A710" s="1" t="str">
        <x:v>PUB-0709</x:v>
      </x:c>
      <x:c r="B710" s="5" t="n">
        <x:v>46024</x:v>
      </x:c>
      <x:c r="C710" s="5" t="n">
        <x:v>46030</x:v>
      </x:c>
      <x:c r="D710" s="5" t="n">
        <x:v>46028</x:v>
      </x:c>
      <x:c r="E710" s="1" t="str">
        <x:v>Design</x:v>
      </x:c>
      <x:c r="F710" s="1" t="str">
        <x:v>Workbook</x:v>
      </x:c>
      <x:c r="G710" s="1" t="str">
        <x:v>High</x:v>
      </x:c>
      <x:c r="H710" s="1" t="str">
        <x:v>AI-Assisted</x:v>
      </x:c>
      <x:c r="I710" s="1" t="str">
        <x:v>Few-shot v2</x:v>
      </x:c>
      <x:c r="J710" s="1" t="n">
        <x:v>15</x:v>
      </x:c>
      <x:c r="K710" s="6" t="n">
        <x:v>4.8</x:v>
      </x:c>
      <x:c r="L710" s="6" t="n">
        <x:v>7.2</x:v>
      </x:c>
      <x:c r="M710" s="6" t="n">
        <x:v>2.4</x:v>
      </x:c>
      <x:c r="N710" s="6" t="n">
        <x:v>3332.23</x:v>
      </x:c>
      <x:c r="O710" s="6" t="n">
        <x:v>5028.26</x:v>
      </x:c>
      <x:c r="P710" s="6" t="n">
        <x:v>1696.03</x:v>
      </x:c>
      <x:c r="Q710" s="1" t="n">
        <x:v>3</x:v>
      </x:c>
      <x:c r="R710" s="1" t="str">
        <x:v>No</x:v>
      </x:c>
      <x:c r="S710" s="7" t="n">
        <x:v>85.9</x:v>
      </x:c>
      <x:c r="T710" s="1" t="str">
        <x:v>Yes</x:v>
      </x:c>
      <x:c r="U710" s="1" t="str">
        <x:v>Completed</x:v>
      </x:c>
    </x:row>
    <x:row r="711">
      <x:c r="A711" s="1" t="str">
        <x:v>PUB-0710</x:v>
      </x:c>
      <x:c r="B711" s="5" t="n">
        <x:v>45958</x:v>
      </x:c>
      <x:c r="C711" s="5" t="n">
        <x:v>45977</x:v>
      </x:c>
      <x:c r="D711" s="5" t="n">
        <x:v>45967</x:v>
      </x:c>
      <x:c r="E711" s="1" t="str">
        <x:v>Editorial</x:v>
      </x:c>
      <x:c r="F711" s="1" t="str">
        <x:v>E-book</x:v>
      </x:c>
      <x:c r="G711" s="1" t="str">
        <x:v>High</x:v>
      </x:c>
      <x:c r="H711" s="1" t="str">
        <x:v>AI-Assisted</x:v>
      </x:c>
      <x:c r="I711" s="1" t="str">
        <x:v>Editorial QA</x:v>
      </x:c>
      <x:c r="J711" s="1" t="n">
        <x:v>126</x:v>
      </x:c>
      <x:c r="K711" s="6" t="n">
        <x:v>54.3</x:v>
      </x:c>
      <x:c r="L711" s="6" t="n">
        <x:v>91.9</x:v>
      </x:c>
      <x:c r="M711" s="6" t="n">
        <x:v>37.6</x:v>
      </x:c>
      <x:c r="N711" s="6" t="n">
        <x:v>36770.5</x:v>
      </x:c>
      <x:c r="O711" s="6" t="n">
        <x:v>62224.45</x:v>
      </x:c>
      <x:c r="P711" s="6" t="n">
        <x:v>25453.95</x:v>
      </x:c>
      <x:c r="Q711" s="1" t="n">
        <x:v>2</x:v>
      </x:c>
      <x:c r="R711" s="1" t="str">
        <x:v>No</x:v>
      </x:c>
      <x:c r="S711" s="7" t="n">
        <x:v>78.7</x:v>
      </x:c>
      <x:c r="T711" s="1" t="str">
        <x:v>Yes</x:v>
      </x:c>
      <x:c r="U711" s="1" t="str">
        <x:v>Completed</x:v>
      </x:c>
    </x:row>
    <x:row r="712">
      <x:c r="A712" s="1" t="str">
        <x:v>PUB-0711</x:v>
      </x:c>
      <x:c r="B712" s="5" t="n">
        <x:v>45757</x:v>
      </x:c>
      <x:c r="C712" s="5" t="n">
        <x:v>45764</x:v>
      </x:c>
      <x:c r="D712" s="5" t="n">
        <x:v>45758</x:v>
      </x:c>
      <x:c r="E712" s="1" t="str">
        <x:v>Digital Learning</x:v>
      </x:c>
      <x:c r="F712" s="1" t="str">
        <x:v>Assessment</x:v>
      </x:c>
      <x:c r="G712" s="1" t="str">
        <x:v>Medium</x:v>
      </x:c>
      <x:c r="H712" s="1" t="str">
        <x:v>AI-Assisted</x:v>
      </x:c>
      <x:c r="I712" s="1" t="str">
        <x:v>Visual Brief</x:v>
      </x:c>
      <x:c r="J712" s="1" t="n">
        <x:v>19</x:v>
      </x:c>
      <x:c r="K712" s="6" t="n">
        <x:v>6.4</x:v>
      </x:c>
      <x:c r="L712" s="6" t="n">
        <x:v>9.7</x:v>
      </x:c>
      <x:c r="M712" s="6" t="n">
        <x:v>3.3</x:v>
      </x:c>
      <x:c r="N712" s="6" t="n">
        <x:v>4329.66</x:v>
      </x:c>
      <x:c r="O712" s="6" t="n">
        <x:v>6534.44</x:v>
      </x:c>
      <x:c r="P712" s="6" t="n">
        <x:v>2204.78</x:v>
      </x:c>
      <x:c r="Q712" s="1" t="n">
        <x:v>0</x:v>
      </x:c>
      <x:c r="R712" s="1" t="str">
        <x:v>Yes</x:v>
      </x:c>
      <x:c r="S712" s="7" t="n">
        <x:v>94.6</x:v>
      </x:c>
      <x:c r="T712" s="1" t="str">
        <x:v>Yes</x:v>
      </x:c>
      <x:c r="U712" s="1" t="str">
        <x:v>Completed</x:v>
      </x:c>
    </x:row>
    <x:row r="713">
      <x:c r="A713" s="1" t="str">
        <x:v>PUB-0712</x:v>
      </x:c>
      <x:c r="B713" s="5" t="n">
        <x:v>45816</x:v>
      </x:c>
      <x:c r="C713" s="5" t="n">
        <x:v>45824</x:v>
      </x:c>
      <x:c r="D713" s="5" t="n">
        <x:v>45819</x:v>
      </x:c>
      <x:c r="E713" s="1" t="str">
        <x:v>Editorial</x:v>
      </x:c>
      <x:c r="F713" s="1" t="str">
        <x:v>Workbook</x:v>
      </x:c>
      <x:c r="G713" s="1" t="str">
        <x:v>High</x:v>
      </x:c>
      <x:c r="H713" s="1" t="str">
        <x:v>Manual</x:v>
      </x:c>
      <x:c r="I713" s="1" t="str">
        <x:v>Manual / NA</x:v>
      </x:c>
      <x:c r="J713" s="1" t="n">
        <x:v>9</x:v>
      </x:c>
      <x:c r="K713" s="6" t="n">
        <x:v>5.4</x:v>
      </x:c>
      <x:c r="L713" s="6" t="n">
        <x:v>5.9</x:v>
      </x:c>
      <x:c r="M713" s="6" t="n">
        <x:v>0.5</x:v>
      </x:c>
      <x:c r="N713" s="6" t="n">
        <x:v>3691.28</x:v>
      </x:c>
      <x:c r="O713" s="6" t="n">
        <x:v>4037.72</x:v>
      </x:c>
      <x:c r="P713" s="6" t="n">
        <x:v>346.44</x:v>
      </x:c>
      <x:c r="Q713" s="1" t="n">
        <x:v>2</x:v>
      </x:c>
      <x:c r="R713" s="1" t="str">
        <x:v>No</x:v>
      </x:c>
      <x:c r="S713" s="7" t="n">
        <x:v>88.9</x:v>
      </x:c>
      <x:c r="T713" s="1" t="str">
        <x:v>Yes</x:v>
      </x:c>
      <x:c r="U713" s="1" t="str">
        <x:v>Completed</x:v>
      </x:c>
    </x:row>
    <x:row r="714">
      <x:c r="A714" s="1" t="str">
        <x:v>PUB-0713</x:v>
      </x:c>
      <x:c r="B714" s="5" t="n">
        <x:v>45764</x:v>
      </x:c>
      <x:c r="C714" s="5" t="n">
        <x:v>45771</x:v>
      </x:c>
      <x:c r="D714" s="5" t="n">
        <x:v>45765</x:v>
      </x:c>
      <x:c r="E714" s="1" t="str">
        <x:v>Design</x:v>
      </x:c>
      <x:c r="F714" s="1" t="str">
        <x:v>Illustration</x:v>
      </x:c>
      <x:c r="G714" s="1" t="str">
        <x:v>Medium</x:v>
      </x:c>
      <x:c r="H714" s="1" t="str">
        <x:v>AI-Assisted</x:v>
      </x:c>
      <x:c r="I714" s="1" t="str">
        <x:v>Structured v3</x:v>
      </x:c>
      <x:c r="J714" s="1" t="n">
        <x:v>19</x:v>
      </x:c>
      <x:c r="K714" s="6" t="n">
        <x:v>4.6</x:v>
      </x:c>
      <x:c r="L714" s="6" t="n">
        <x:v>8.9</x:v>
      </x:c>
      <x:c r="M714" s="6" t="n">
        <x:v>4.3</x:v>
      </x:c>
      <x:c r="N714" s="6" t="n">
        <x:v>3530.33</x:v>
      </x:c>
      <x:c r="O714" s="6" t="n">
        <x:v>6801.23</x:v>
      </x:c>
      <x:c r="P714" s="6" t="n">
        <x:v>3270.9</x:v>
      </x:c>
      <x:c r="Q714" s="1" t="n">
        <x:v>0</x:v>
      </x:c>
      <x:c r="R714" s="1" t="str">
        <x:v>Yes</x:v>
      </x:c>
      <x:c r="S714" s="7" t="n">
        <x:v>88.5</x:v>
      </x:c>
      <x:c r="T714" s="1" t="str">
        <x:v>Yes</x:v>
      </x:c>
      <x:c r="U714" s="1" t="str">
        <x:v>Completed</x:v>
      </x:c>
    </x:row>
    <x:row r="715">
      <x:c r="A715" s="1" t="str">
        <x:v>PUB-0714</x:v>
      </x:c>
      <x:c r="B715" s="5" t="n">
        <x:v>46100</x:v>
      </x:c>
      <x:c r="C715" s="5" t="n">
        <x:v>46111</x:v>
      </x:c>
      <x:c r="D715" s="5" t="str"/>
      <x:c r="E715" s="1" t="str">
        <x:v>Editorial</x:v>
      </x:c>
      <x:c r="F715" s="1" t="str">
        <x:v>School Textbook</x:v>
      </x:c>
      <x:c r="G715" s="1" t="str">
        <x:v>Low</x:v>
      </x:c>
      <x:c r="H715" s="1" t="str">
        <x:v>AI-Assisted</x:v>
      </x:c>
      <x:c r="I715" s="1" t="str">
        <x:v>Editorial QA</x:v>
      </x:c>
      <x:c r="J715" s="1" t="n">
        <x:v>69</x:v>
      </x:c>
      <x:c r="K715" s="6" t="n">
        <x:v>18.1</x:v>
      </x:c>
      <x:c r="L715" s="6" t="n">
        <x:v>29.6</x:v>
      </x:c>
      <x:c r="M715" s="6" t="n">
        <x:v>11.5</x:v>
      </x:c>
      <x:c r="N715" s="6" t="n">
        <x:v>16074.23</x:v>
      </x:c>
      <x:c r="O715" s="6" t="n">
        <x:v>26287.81</x:v>
      </x:c>
      <x:c r="P715" s="6" t="n">
        <x:v>10213.58</x:v>
      </x:c>
      <x:c r="Q715" s="1" t="n">
        <x:v>0</x:v>
      </x:c>
      <x:c r="R715" s="1" t="str"/>
      <x:c r="S715" s="7" t="n">
        <x:v>96.6</x:v>
      </x:c>
      <x:c r="T715" s="1" t="str"/>
      <x:c r="U715" s="1" t="str">
        <x:v>In Progress</x:v>
      </x:c>
    </x:row>
    <x:row r="716">
      <x:c r="A716" s="1" t="str">
        <x:v>PUB-0715</x:v>
      </x:c>
      <x:c r="B716" s="5" t="n">
        <x:v>46162</x:v>
      </x:c>
      <x:c r="C716" s="5" t="n">
        <x:v>46177</x:v>
      </x:c>
      <x:c r="D716" s="5" t="str"/>
      <x:c r="E716" s="1" t="str">
        <x:v>Design</x:v>
      </x:c>
      <x:c r="F716" s="1" t="str">
        <x:v>Workbook</x:v>
      </x:c>
      <x:c r="G716" s="1" t="str">
        <x:v>Medium</x:v>
      </x:c>
      <x:c r="H716" s="1" t="str">
        <x:v>AI-Assisted</x:v>
      </x:c>
      <x:c r="I716" s="1" t="str">
        <x:v>Editorial QA</x:v>
      </x:c>
      <x:c r="J716" s="1" t="n">
        <x:v>126</x:v>
      </x:c>
      <x:c r="K716" s="6" t="n">
        <x:v>27.8</x:v>
      </x:c>
      <x:c r="L716" s="6" t="n">
        <x:v>57.1</x:v>
      </x:c>
      <x:c r="M716" s="6" t="n">
        <x:v>29.3</x:v>
      </x:c>
      <x:c r="N716" s="6" t="n">
        <x:v>24423.44</x:v>
      </x:c>
      <x:c r="O716" s="6" t="n">
        <x:v>50196.65</x:v>
      </x:c>
      <x:c r="P716" s="6" t="n">
        <x:v>25773.21</x:v>
      </x:c>
      <x:c r="Q716" s="1" t="n">
        <x:v>0</x:v>
      </x:c>
      <x:c r="R716" s="1" t="str"/>
      <x:c r="S716" s="7" t="n">
        <x:v>93.7</x:v>
      </x:c>
      <x:c r="T716" s="1" t="str"/>
      <x:c r="U716" s="1" t="str">
        <x:v>In Review</x:v>
      </x:c>
    </x:row>
    <x:row r="717">
      <x:c r="A717" s="1" t="str">
        <x:v>PUB-0716</x:v>
      </x:c>
      <x:c r="B717" s="5" t="n">
        <x:v>46113</x:v>
      </x:c>
      <x:c r="C717" s="5" t="n">
        <x:v>46131</x:v>
      </x:c>
      <x:c r="D717" s="5" t="n">
        <x:v>46122</x:v>
      </x:c>
      <x:c r="E717" s="1" t="str">
        <x:v>Editorial</x:v>
      </x:c>
      <x:c r="F717" s="1" t="str">
        <x:v>E-book</x:v>
      </x:c>
      <x:c r="G717" s="1" t="str">
        <x:v>High</x:v>
      </x:c>
      <x:c r="H717" s="1" t="str">
        <x:v>Manual</x:v>
      </x:c>
      <x:c r="I717" s="1" t="str">
        <x:v>Manual / NA</x:v>
      </x:c>
      <x:c r="J717" s="1" t="n">
        <x:v>127</x:v>
      </x:c>
      <x:c r="K717" s="6" t="n">
        <x:v>68.1</x:v>
      </x:c>
      <x:c r="L717" s="6" t="n">
        <x:v>77.3</x:v>
      </x:c>
      <x:c r="M717" s="6" t="n">
        <x:v>9.2</x:v>
      </x:c>
      <x:c r="N717" s="6" t="n">
        <x:v>49655.61</x:v>
      </x:c>
      <x:c r="O717" s="6" t="n">
        <x:v>56330.84</x:v>
      </x:c>
      <x:c r="P717" s="6" t="n">
        <x:v>6675.23</x:v>
      </x:c>
      <x:c r="Q717" s="1" t="n">
        <x:v>0</x:v>
      </x:c>
      <x:c r="R717" s="1" t="str">
        <x:v>Yes</x:v>
      </x:c>
      <x:c r="S717" s="7" t="n">
        <x:v>85.3</x:v>
      </x:c>
      <x:c r="T717" s="1" t="str">
        <x:v>Yes</x:v>
      </x:c>
      <x:c r="U717" s="1" t="str">
        <x:v>Completed</x:v>
      </x:c>
    </x:row>
    <x:row r="718">
      <x:c r="A718" s="1" t="str">
        <x:v>PUB-0717</x:v>
      </x:c>
      <x:c r="B718" s="5" t="n">
        <x:v>46195</x:v>
      </x:c>
      <x:c r="C718" s="5" t="n">
        <x:v>46209</x:v>
      </x:c>
      <x:c r="D718" s="5" t="n">
        <x:v>46203</x:v>
      </x:c>
      <x:c r="E718" s="1" t="str">
        <x:v>Design</x:v>
      </x:c>
      <x:c r="F718" s="1" t="str">
        <x:v>School Textbook</x:v>
      </x:c>
      <x:c r="G718" s="1" t="str">
        <x:v>Medium</x:v>
      </x:c>
      <x:c r="H718" s="1" t="str">
        <x:v>AI-Assisted</x:v>
      </x:c>
      <x:c r="I718" s="1" t="str">
        <x:v>Few-shot v2</x:v>
      </x:c>
      <x:c r="J718" s="1" t="n">
        <x:v>192</x:v>
      </x:c>
      <x:c r="K718" s="6" t="n">
        <x:v>60.7</x:v>
      </x:c>
      <x:c r="L718" s="6" t="n">
        <x:v>88.5</x:v>
      </x:c>
      <x:c r="M718" s="6" t="n">
        <x:v>27.8</x:v>
      </x:c>
      <x:c r="N718" s="6" t="n">
        <x:v>43705.19</x:v>
      </x:c>
      <x:c r="O718" s="6" t="n">
        <x:v>63742.27</x:v>
      </x:c>
      <x:c r="P718" s="6" t="n">
        <x:v>20037.08</x:v>
      </x:c>
      <x:c r="Q718" s="1" t="n">
        <x:v>0</x:v>
      </x:c>
      <x:c r="R718" s="1" t="str">
        <x:v>Yes</x:v>
      </x:c>
      <x:c r="S718" s="7" t="n">
        <x:v>82.2</x:v>
      </x:c>
      <x:c r="T718" s="1" t="str">
        <x:v>Yes</x:v>
      </x:c>
      <x:c r="U718" s="1" t="str">
        <x:v>Completed</x:v>
      </x:c>
    </x:row>
    <x:row r="719">
      <x:c r="A719" s="1" t="str">
        <x:v>PUB-0718</x:v>
      </x:c>
      <x:c r="B719" s="5" t="n">
        <x:v>46141</x:v>
      </x:c>
      <x:c r="C719" s="5" t="n">
        <x:v>46156</x:v>
      </x:c>
      <x:c r="D719" s="5" t="n">
        <x:v>46146</x:v>
      </x:c>
      <x:c r="E719" s="1" t="str">
        <x:v>Production</x:v>
      </x:c>
      <x:c r="F719" s="1" t="str">
        <x:v>School Textbook</x:v>
      </x:c>
      <x:c r="G719" s="1" t="str">
        <x:v>Medium</x:v>
      </x:c>
      <x:c r="H719" s="1" t="str">
        <x:v>AI-Assisted</x:v>
      </x:c>
      <x:c r="I719" s="1" t="str">
        <x:v>Few-shot v2</x:v>
      </x:c>
      <x:c r="J719" s="1" t="n">
        <x:v>176</x:v>
      </x:c>
      <x:c r="K719" s="6" t="n">
        <x:v>38.1</x:v>
      </x:c>
      <x:c r="L719" s="6" t="n">
        <x:v>68.4</x:v>
      </x:c>
      <x:c r="M719" s="6" t="n">
        <x:v>30.3</x:v>
      </x:c>
      <x:c r="N719" s="6" t="n">
        <x:v>42961.46</x:v>
      </x:c>
      <x:c r="O719" s="6" t="n">
        <x:v>77095.2</x:v>
      </x:c>
      <x:c r="P719" s="6" t="n">
        <x:v>34133.74</x:v>
      </x:c>
      <x:c r="Q719" s="1" t="n">
        <x:v>0</x:v>
      </x:c>
      <x:c r="R719" s="1" t="str">
        <x:v>Yes</x:v>
      </x:c>
      <x:c r="S719" s="7" t="n">
        <x:v>78.5</x:v>
      </x:c>
      <x:c r="T719" s="1" t="str">
        <x:v>Yes</x:v>
      </x:c>
      <x:c r="U719" s="1" t="str">
        <x:v>Completed</x:v>
      </x:c>
    </x:row>
    <x:row r="720">
      <x:c r="A720" s="1" t="str">
        <x:v>PUB-0719</x:v>
      </x:c>
      <x:c r="B720" s="5" t="n">
        <x:v>45688</x:v>
      </x:c>
      <x:c r="C720" s="5" t="n">
        <x:v>45704</x:v>
      </x:c>
      <x:c r="D720" s="5" t="str"/>
      <x:c r="E720" s="1" t="str">
        <x:v>Digital Learning</x:v>
      </x:c>
      <x:c r="F720" s="1" t="str">
        <x:v>School Textbook</x:v>
      </x:c>
      <x:c r="G720" s="1" t="str">
        <x:v>Medium</x:v>
      </x:c>
      <x:c r="H720" s="1" t="str">
        <x:v>AI-Assisted</x:v>
      </x:c>
      <x:c r="I720" s="1" t="str">
        <x:v>Structured v3</x:v>
      </x:c>
      <x:c r="J720" s="1" t="n">
        <x:v>181</x:v>
      </x:c>
      <x:c r="K720" s="6" t="n">
        <x:v>68.3</x:v>
      </x:c>
      <x:c r="L720" s="6" t="n">
        <x:v>95.4</x:v>
      </x:c>
      <x:c r="M720" s="6" t="n">
        <x:v>27.1</x:v>
      </x:c>
      <x:c r="N720" s="6" t="n">
        <x:v>72007.17</x:v>
      </x:c>
      <x:c r="O720" s="6" t="n">
        <x:v>100598.75</x:v>
      </x:c>
      <x:c r="P720" s="6" t="n">
        <x:v>28591.58</x:v>
      </x:c>
      <x:c r="Q720" s="1" t="n">
        <x:v>0</x:v>
      </x:c>
      <x:c r="R720" s="1" t="str"/>
      <x:c r="S720" s="7" t="n">
        <x:v>90</x:v>
      </x:c>
      <x:c r="T720" s="1" t="str"/>
      <x:c r="U720" s="1" t="str">
        <x:v>In Review</x:v>
      </x:c>
    </x:row>
    <x:row r="721">
      <x:c r="A721" s="1" t="str">
        <x:v>PUB-0720</x:v>
      </x:c>
      <x:c r="B721" s="5" t="n">
        <x:v>46088</x:v>
      </x:c>
      <x:c r="C721" s="5" t="n">
        <x:v>46103</x:v>
      </x:c>
      <x:c r="D721" s="5" t="n">
        <x:v>46095</x:v>
      </x:c>
      <x:c r="E721" s="1" t="str">
        <x:v>Digital Learning</x:v>
      </x:c>
      <x:c r="F721" s="1" t="str">
        <x:v>School Textbook</x:v>
      </x:c>
      <x:c r="G721" s="1" t="str">
        <x:v>Low</x:v>
      </x:c>
      <x:c r="H721" s="1" t="str">
        <x:v>AI-Assisted</x:v>
      </x:c>
      <x:c r="I721" s="1" t="str">
        <x:v>Structured v3</x:v>
      </x:c>
      <x:c r="J721" s="1" t="n">
        <x:v>199</x:v>
      </x:c>
      <x:c r="K721" s="6" t="n">
        <x:v>53.9</x:v>
      </x:c>
      <x:c r="L721" s="6" t="n">
        <x:v>86.1</x:v>
      </x:c>
      <x:c r="M721" s="6" t="n">
        <x:v>32.2</x:v>
      </x:c>
      <x:c r="N721" s="6" t="n">
        <x:v>57691.31</x:v>
      </x:c>
      <x:c r="O721" s="6" t="n">
        <x:v>92208.51</x:v>
      </x:c>
      <x:c r="P721" s="6" t="n">
        <x:v>34517.2</x:v>
      </x:c>
      <x:c r="Q721" s="1" t="n">
        <x:v>0</x:v>
      </x:c>
      <x:c r="R721" s="1" t="str">
        <x:v>Yes</x:v>
      </x:c>
      <x:c r="S721" s="7" t="n">
        <x:v>99</x:v>
      </x:c>
      <x:c r="T721" s="1" t="str">
        <x:v>Yes</x:v>
      </x:c>
      <x:c r="U721" s="1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5f94636a554e40aa"/>
  </x:tableParts>
</x:worksheet>
</file>